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conomichousessa-my.sharepoint.com/personal/s_ali_ehco_com_sa/Documents/Desktop/"/>
    </mc:Choice>
  </mc:AlternateContent>
  <xr:revisionPtr revIDLastSave="1469" documentId="13_ncr:1_{054E0BA7-03B8-4F5B-B23B-4AFD5B4FA02B}" xr6:coauthVersionLast="47" xr6:coauthVersionMax="47" xr10:uidLastSave="{7C66C360-F152-4666-BC6F-762578D7732A}"/>
  <bookViews>
    <workbookView xWindow="-108" yWindow="-108" windowWidth="23256" windowHeight="12456" tabRatio="892" xr2:uid="{00000000-000D-0000-FFFF-FFFF00000000}"/>
  </bookViews>
  <sheets>
    <sheet name="EH Staff" sheetId="1" r:id="rId1"/>
    <sheet name="MONTH SETTING" sheetId="206" r:id="rId2"/>
    <sheet name="2078939747" sheetId="342" r:id="rId3"/>
    <sheet name="1401" sheetId="276" r:id="rId4"/>
    <sheet name="2512936473" sheetId="279" r:id="rId5"/>
    <sheet name="2377490566" sheetId="347" r:id="rId6"/>
    <sheet name="775" sheetId="384" r:id="rId7"/>
    <sheet name="2588344990" sheetId="369" r:id="rId8"/>
    <sheet name="2412520922" sheetId="368" r:id="rId9"/>
    <sheet name="2533698649" sheetId="378" r:id="rId10"/>
    <sheet name="1018" sheetId="351" r:id="rId11"/>
    <sheet name="2527497917" sheetId="379" r:id="rId12"/>
    <sheet name="221" sheetId="280" r:id="rId13"/>
    <sheet name="220" sheetId="386" r:id="rId14"/>
    <sheet name="E00524" sheetId="281" r:id="rId15"/>
    <sheet name="2620914099" sheetId="374" r:id="rId16"/>
    <sheet name="1" sheetId="282" r:id="rId17"/>
    <sheet name="21" sheetId="289" r:id="rId18"/>
    <sheet name="57" sheetId="356" r:id="rId19"/>
    <sheet name="62" sheetId="375" r:id="rId20"/>
    <sheet name="65" sheetId="292" r:id="rId21"/>
    <sheet name="69" sheetId="294" r:id="rId22"/>
    <sheet name="86" sheetId="367" r:id="rId23"/>
    <sheet name="91" sheetId="359" r:id="rId24"/>
    <sheet name="98" sheetId="298" r:id="rId25"/>
    <sheet name="108" sheetId="303" r:id="rId26"/>
    <sheet name="113" sheetId="305" r:id="rId27"/>
    <sheet name="117" sheetId="370" r:id="rId28"/>
    <sheet name="124" sheetId="371" r:id="rId29"/>
    <sheet name="125" sheetId="306" r:id="rId30"/>
    <sheet name="128" sheetId="377" r:id="rId31"/>
    <sheet name="133" sheetId="345" r:id="rId32"/>
    <sheet name="135" sheetId="307" r:id="rId33"/>
    <sheet name="141" sheetId="309" r:id="rId34"/>
    <sheet name="153" sheetId="316" r:id="rId35"/>
    <sheet name="161" sheetId="381" r:id="rId36"/>
    <sheet name="162" sheetId="382" r:id="rId37"/>
    <sheet name="168" sheetId="360" r:id="rId38"/>
    <sheet name="170" sheetId="319" r:id="rId39"/>
    <sheet name="173" sheetId="322" r:id="rId40"/>
    <sheet name="174" sheetId="323" r:id="rId41"/>
    <sheet name="175" sheetId="324" r:id="rId42"/>
    <sheet name="182" sheetId="361" r:id="rId43"/>
    <sheet name="190" sheetId="329" r:id="rId44"/>
    <sheet name="192" sheetId="362" r:id="rId45"/>
    <sheet name="193" sheetId="363" r:id="rId46"/>
    <sheet name="194" sheetId="364" r:id="rId47"/>
    <sheet name="195" sheetId="330" r:id="rId48"/>
    <sheet name="210" sheetId="334" r:id="rId49"/>
    <sheet name="216" sheetId="335" r:id="rId50"/>
    <sheet name="230" sheetId="336" r:id="rId51"/>
    <sheet name="238" sheetId="337" r:id="rId52"/>
    <sheet name="241" sheetId="338" r:id="rId53"/>
    <sheet name="2407930680" sheetId="341" r:id="rId54"/>
  </sheets>
  <definedNames>
    <definedName name="_xlnm._FilterDatabase" localSheetId="0" hidden="1">'EH Staff'!$A$1:$HN$54</definedName>
    <definedName name="MONTHS">#REF!</definedName>
    <definedName name="_xlnm.Print_Area" localSheetId="16">'1'!$B$1:$AL$37</definedName>
    <definedName name="_xlnm.Print_Area" localSheetId="10">'1018'!$B$1:$AL$37</definedName>
    <definedName name="_xlnm.Print_Area" localSheetId="25">'108'!$B$1:$AL$37</definedName>
    <definedName name="_xlnm.Print_Area" localSheetId="26">'113'!$B$1:$AL$37</definedName>
    <definedName name="_xlnm.Print_Area" localSheetId="27">'117'!$B$1:$AL$37</definedName>
    <definedName name="_xlnm.Print_Area" localSheetId="28">'124'!$B$1:$AL$37</definedName>
    <definedName name="_xlnm.Print_Area" localSheetId="29">'125'!$B$1:$AL$37</definedName>
    <definedName name="_xlnm.Print_Area" localSheetId="30">'128'!$B$1:$AL$37</definedName>
    <definedName name="_xlnm.Print_Area" localSheetId="31">'133'!$B$1:$AL$37</definedName>
    <definedName name="_xlnm.Print_Area" localSheetId="32">'135'!$B$1:$AL$37</definedName>
    <definedName name="_xlnm.Print_Area" localSheetId="3">'1401'!$B$1:$AL$37</definedName>
    <definedName name="_xlnm.Print_Area" localSheetId="33">'141'!$B$1:$AL$37</definedName>
    <definedName name="_xlnm.Print_Area" localSheetId="34">'153'!$B$1:$AL$37</definedName>
    <definedName name="_xlnm.Print_Area" localSheetId="35">'161'!$B$1:$AL$37</definedName>
    <definedName name="_xlnm.Print_Area" localSheetId="36">'162'!$B$1:$AL$37</definedName>
    <definedName name="_xlnm.Print_Area" localSheetId="37">'168'!$B$1:$AL$37</definedName>
    <definedName name="_xlnm.Print_Area" localSheetId="38">'170'!$B$1:$AL$37</definedName>
    <definedName name="_xlnm.Print_Area" localSheetId="39">'173'!$B$1:$AL$37</definedName>
    <definedName name="_xlnm.Print_Area" localSheetId="40">'174'!$B$1:$AL$37</definedName>
    <definedName name="_xlnm.Print_Area" localSheetId="41">'175'!$B$1:$AL$37</definedName>
    <definedName name="_xlnm.Print_Area" localSheetId="42">'182'!$B$1:$AL$37</definedName>
    <definedName name="_xlnm.Print_Area" localSheetId="43">'190'!$B$1:$AL$37</definedName>
    <definedName name="_xlnm.Print_Area" localSheetId="44">'192'!$B$1:$AL$37</definedName>
    <definedName name="_xlnm.Print_Area" localSheetId="45">'193'!$B$1:$AL$37</definedName>
    <definedName name="_xlnm.Print_Area" localSheetId="46">'194'!$B$1:$AL$37</definedName>
    <definedName name="_xlnm.Print_Area" localSheetId="47">'195'!$B$1:$AL$37</definedName>
    <definedName name="_xlnm.Print_Area" localSheetId="2">'2078939747'!$B$1:$AL$37</definedName>
    <definedName name="_xlnm.Print_Area" localSheetId="17">'21'!$B$1:$AL$37</definedName>
    <definedName name="_xlnm.Print_Area" localSheetId="48">'210'!$B$1:$AL$37</definedName>
    <definedName name="_xlnm.Print_Area" localSheetId="49">'216'!$B$1:$AL$37</definedName>
    <definedName name="_xlnm.Print_Area" localSheetId="13">'220'!$B$1:$AL$37</definedName>
    <definedName name="_xlnm.Print_Area" localSheetId="12">'221'!$B$1:$AL$37</definedName>
    <definedName name="_xlnm.Print_Area" localSheetId="50">'230'!$B$1:$AL$37</definedName>
    <definedName name="_xlnm.Print_Area" localSheetId="5">'2377490566'!$B$1:$AL$37</definedName>
    <definedName name="_xlnm.Print_Area" localSheetId="51">'238'!$B$1:$AL$37</definedName>
    <definedName name="_xlnm.Print_Area" localSheetId="53">'2407930680'!$B$1:$AL$37</definedName>
    <definedName name="_xlnm.Print_Area" localSheetId="52">'241'!$B$1:$AL$37</definedName>
    <definedName name="_xlnm.Print_Area" localSheetId="8">'2412520922'!$B$1:$AL$37</definedName>
    <definedName name="_xlnm.Print_Area" localSheetId="4">'2512936473'!$B$1:$AL$37</definedName>
    <definedName name="_xlnm.Print_Area" localSheetId="11">'2527497917'!$B$1:$AL$37</definedName>
    <definedName name="_xlnm.Print_Area" localSheetId="9">'2533698649'!$B$1:$AL$37</definedName>
    <definedName name="_xlnm.Print_Area" localSheetId="7">'2588344990'!$B$1:$AL$37</definedName>
    <definedName name="_xlnm.Print_Area" localSheetId="15">'2620914099'!$B$1:$AL$37</definedName>
    <definedName name="_xlnm.Print_Area" localSheetId="18">'57'!$B$1:$AL$37</definedName>
    <definedName name="_xlnm.Print_Area" localSheetId="19">'62'!$B$1:$AL$37</definedName>
    <definedName name="_xlnm.Print_Area" localSheetId="20">'65'!$B$1:$AL$37</definedName>
    <definedName name="_xlnm.Print_Area" localSheetId="21">'69'!$B$1:$AL$37</definedName>
    <definedName name="_xlnm.Print_Area" localSheetId="6">'775'!$B$1:$AL$37</definedName>
    <definedName name="_xlnm.Print_Area" localSheetId="22">'86'!$B$1:$AL$37</definedName>
    <definedName name="_xlnm.Print_Area" localSheetId="23">'91'!$B$1:$AL$37</definedName>
    <definedName name="_xlnm.Print_Area" localSheetId="24">'98'!$B$1:$AL$37</definedName>
    <definedName name="_xlnm.Print_Area" localSheetId="14">'E00524'!$B$1:$AL$37</definedName>
    <definedName name="_xlnm.Print_Area" localSheetId="0">'EH Staff'!$A$1:$BT$54</definedName>
    <definedName name="_xlnm.Print_Titles" localSheetId="0">'EH Staff'!$2:$2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R15" i="1" l="1"/>
  <c r="BS15" i="1"/>
  <c r="W34" i="386"/>
  <c r="W33" i="386"/>
  <c r="W32" i="386"/>
  <c r="AK20" i="386"/>
  <c r="AK21" i="386" s="1"/>
  <c r="D19" i="386"/>
  <c r="AK17" i="386"/>
  <c r="AK16" i="386"/>
  <c r="D7" i="386"/>
  <c r="A1" i="386" a="1"/>
  <c r="A1" i="386" s="1"/>
  <c r="D4" i="386" s="1"/>
  <c r="BS8" i="1"/>
  <c r="BR8" i="1"/>
  <c r="AA24" i="386" l="1" a="1"/>
  <c r="AA24" i="386" s="1"/>
  <c r="AH24" i="386" a="1"/>
  <c r="AH24" i="386" s="1"/>
  <c r="AD24" i="386" a="1"/>
  <c r="AD24" i="386" s="1"/>
  <c r="Z24" i="386" a="1"/>
  <c r="Z24" i="386" s="1"/>
  <c r="V24" i="386" a="1"/>
  <c r="V24" i="386" s="1"/>
  <c r="R24" i="386" a="1"/>
  <c r="R24" i="386" s="1"/>
  <c r="N24" i="386" a="1"/>
  <c r="N24" i="386" s="1"/>
  <c r="J24" i="386" a="1"/>
  <c r="J24" i="386" s="1"/>
  <c r="F24" i="386" a="1"/>
  <c r="F24" i="386" s="1"/>
  <c r="AE12" i="386" a="1"/>
  <c r="AE12" i="386" s="1"/>
  <c r="AA12" i="386" a="1"/>
  <c r="AA12" i="386" s="1"/>
  <c r="W12" i="386" a="1"/>
  <c r="W12" i="386" s="1"/>
  <c r="X4" i="386" a="1"/>
  <c r="X4" i="386" s="1"/>
  <c r="W24" i="386" a="1"/>
  <c r="W24" i="386" s="1"/>
  <c r="K24" i="386" a="1"/>
  <c r="K24" i="386" s="1"/>
  <c r="AF12" i="386" a="1"/>
  <c r="AF12" i="386" s="1"/>
  <c r="AG24" i="386" a="1"/>
  <c r="AG24" i="386" s="1"/>
  <c r="AC24" i="386" a="1"/>
  <c r="AC24" i="386" s="1"/>
  <c r="Y24" i="386" a="1"/>
  <c r="Y24" i="386" s="1"/>
  <c r="U24" i="386" a="1"/>
  <c r="U24" i="386" s="1"/>
  <c r="Q24" i="386" a="1"/>
  <c r="Q24" i="386" s="1"/>
  <c r="M24" i="386" a="1"/>
  <c r="M24" i="386" s="1"/>
  <c r="I24" i="386" a="1"/>
  <c r="I24" i="386" s="1"/>
  <c r="E24" i="386" a="1"/>
  <c r="E24" i="386" s="1"/>
  <c r="AH12" i="386" a="1"/>
  <c r="AH12" i="386" s="1"/>
  <c r="AD12" i="386" a="1"/>
  <c r="AD12" i="386" s="1"/>
  <c r="Z12" i="386" a="1"/>
  <c r="Z12" i="386" s="1"/>
  <c r="V12" i="386" a="1"/>
  <c r="V12" i="386" s="1"/>
  <c r="AE24" i="386" a="1"/>
  <c r="AE24" i="386" s="1"/>
  <c r="O24" i="386" a="1"/>
  <c r="O24" i="386" s="1"/>
  <c r="X12" i="386" a="1"/>
  <c r="X12" i="386" s="1"/>
  <c r="AF24" i="386" a="1"/>
  <c r="AF24" i="386" s="1"/>
  <c r="AB24" i="386" a="1"/>
  <c r="AB24" i="386" s="1"/>
  <c r="X24" i="386" a="1"/>
  <c r="X24" i="386" s="1"/>
  <c r="T24" i="386" a="1"/>
  <c r="T24" i="386" s="1"/>
  <c r="P24" i="386" a="1"/>
  <c r="P24" i="386" s="1"/>
  <c r="L24" i="386" a="1"/>
  <c r="L24" i="386" s="1"/>
  <c r="H24" i="386" a="1"/>
  <c r="H24" i="386" s="1"/>
  <c r="D24" i="386" a="1"/>
  <c r="D24" i="386" s="1"/>
  <c r="AG12" i="386" a="1"/>
  <c r="AG12" i="386" s="1"/>
  <c r="AC12" i="386" a="1"/>
  <c r="AC12" i="386" s="1"/>
  <c r="Y12" i="386" a="1"/>
  <c r="Y12" i="386" s="1"/>
  <c r="W26" i="386" a="1"/>
  <c r="W26" i="386" s="1"/>
  <c r="M4" i="386" a="1"/>
  <c r="M4" i="386" s="1"/>
  <c r="H32" i="386" s="1"/>
  <c r="S24" i="386" a="1"/>
  <c r="S24" i="386" s="1"/>
  <c r="G24" i="386" a="1"/>
  <c r="G24" i="386" s="1"/>
  <c r="AB12" i="386" a="1"/>
  <c r="AB12" i="386" s="1"/>
  <c r="W34" i="384"/>
  <c r="W33" i="384"/>
  <c r="W32" i="384"/>
  <c r="AK20" i="384"/>
  <c r="AK21" i="384" s="1"/>
  <c r="D19" i="384"/>
  <c r="AK17" i="384"/>
  <c r="AK16" i="384"/>
  <c r="D7" i="384"/>
  <c r="A1" i="384" a="1"/>
  <c r="A1" i="384" s="1"/>
  <c r="D4" i="384" s="1"/>
  <c r="G14" i="386" l="1"/>
  <c r="G26" i="386"/>
  <c r="AH24" i="384" a="1"/>
  <c r="AH24" i="384" s="1"/>
  <c r="AD24" i="384" a="1"/>
  <c r="AD24" i="384" s="1"/>
  <c r="Z24" i="384" a="1"/>
  <c r="Z24" i="384" s="1"/>
  <c r="V24" i="384" a="1"/>
  <c r="V24" i="384" s="1"/>
  <c r="R24" i="384" a="1"/>
  <c r="R24" i="384" s="1"/>
  <c r="N24" i="384" a="1"/>
  <c r="N24" i="384" s="1"/>
  <c r="J24" i="384" a="1"/>
  <c r="J24" i="384" s="1"/>
  <c r="F24" i="384" a="1"/>
  <c r="F24" i="384" s="1"/>
  <c r="AE12" i="384" a="1"/>
  <c r="AE12" i="384" s="1"/>
  <c r="AA12" i="384" a="1"/>
  <c r="AA12" i="384" s="1"/>
  <c r="W12" i="384" a="1"/>
  <c r="W12" i="384" s="1"/>
  <c r="K24" i="384" a="1"/>
  <c r="K24" i="384" s="1"/>
  <c r="AG24" i="384" a="1"/>
  <c r="AG24" i="384" s="1"/>
  <c r="AC24" i="384" a="1"/>
  <c r="AC24" i="384" s="1"/>
  <c r="Y24" i="384" a="1"/>
  <c r="Y24" i="384" s="1"/>
  <c r="U24" i="384" a="1"/>
  <c r="U24" i="384" s="1"/>
  <c r="Q24" i="384" a="1"/>
  <c r="Q24" i="384" s="1"/>
  <c r="M24" i="384" a="1"/>
  <c r="M24" i="384" s="1"/>
  <c r="I24" i="384" a="1"/>
  <c r="I24" i="384" s="1"/>
  <c r="E24" i="384" a="1"/>
  <c r="E24" i="384" s="1"/>
  <c r="AH12" i="384" a="1"/>
  <c r="AH12" i="384" s="1"/>
  <c r="AD12" i="384" a="1"/>
  <c r="AD12" i="384" s="1"/>
  <c r="Z12" i="384" a="1"/>
  <c r="Z12" i="384" s="1"/>
  <c r="V12" i="384" a="1"/>
  <c r="V12" i="384" s="1"/>
  <c r="X4" i="384" a="1"/>
  <c r="X4" i="384" s="1"/>
  <c r="M4" i="384" a="1"/>
  <c r="M4" i="384" s="1"/>
  <c r="H32" i="384" s="1"/>
  <c r="AE24" i="384" a="1"/>
  <c r="AE24" i="384" s="1"/>
  <c r="AA24" i="384" a="1"/>
  <c r="AA24" i="384" s="1"/>
  <c r="W24" i="384" a="1"/>
  <c r="W24" i="384" s="1"/>
  <c r="S24" i="384" a="1"/>
  <c r="S24" i="384" s="1"/>
  <c r="O24" i="384" a="1"/>
  <c r="O24" i="384" s="1"/>
  <c r="X12" i="384" a="1"/>
  <c r="X12" i="384" s="1"/>
  <c r="AF12" i="384" a="1"/>
  <c r="AF12" i="384" s="1"/>
  <c r="AF24" i="384" a="1"/>
  <c r="AF24" i="384" s="1"/>
  <c r="AB24" i="384" a="1"/>
  <c r="AB24" i="384" s="1"/>
  <c r="X24" i="384" a="1"/>
  <c r="X24" i="384" s="1"/>
  <c r="T24" i="384" a="1"/>
  <c r="T24" i="384" s="1"/>
  <c r="P24" i="384" a="1"/>
  <c r="P24" i="384" s="1"/>
  <c r="L24" i="384" a="1"/>
  <c r="L24" i="384" s="1"/>
  <c r="H24" i="384" a="1"/>
  <c r="H24" i="384" s="1"/>
  <c r="D24" i="384" a="1"/>
  <c r="D24" i="384" s="1"/>
  <c r="AG12" i="384" a="1"/>
  <c r="AG12" i="384" s="1"/>
  <c r="AC12" i="384" a="1"/>
  <c r="AC12" i="384" s="1"/>
  <c r="Y12" i="384" a="1"/>
  <c r="Y12" i="384" s="1"/>
  <c r="W26" i="384" a="1"/>
  <c r="W26" i="384" s="1"/>
  <c r="G24" i="384" a="1"/>
  <c r="G24" i="384" s="1"/>
  <c r="AB12" i="384" a="1"/>
  <c r="AB12" i="384" s="1"/>
  <c r="BR37" i="1"/>
  <c r="BS37" i="1"/>
  <c r="BR38" i="1"/>
  <c r="BS38" i="1"/>
  <c r="W34" i="382"/>
  <c r="W33" i="382"/>
  <c r="W32" i="382"/>
  <c r="AK20" i="382"/>
  <c r="AK21" i="382" s="1"/>
  <c r="D19" i="382"/>
  <c r="AK17" i="382"/>
  <c r="AK16" i="382"/>
  <c r="D7" i="382"/>
  <c r="A1" i="382" a="1"/>
  <c r="A1" i="382" s="1"/>
  <c r="D4" i="382" s="1"/>
  <c r="W34" i="381"/>
  <c r="W33" i="381"/>
  <c r="W32" i="381"/>
  <c r="AK20" i="381"/>
  <c r="AK21" i="381" s="1"/>
  <c r="D19" i="381"/>
  <c r="AK17" i="381"/>
  <c r="AK16" i="381"/>
  <c r="D7" i="381"/>
  <c r="A1" i="381" a="1"/>
  <c r="A1" i="381" s="1"/>
  <c r="D4" i="381" s="1"/>
  <c r="BR11" i="1"/>
  <c r="BS11" i="1"/>
  <c r="BR12" i="1"/>
  <c r="BS12" i="1"/>
  <c r="W34" i="379"/>
  <c r="W33" i="379"/>
  <c r="W32" i="379"/>
  <c r="AK20" i="379"/>
  <c r="AK21" i="379" s="1"/>
  <c r="D19" i="379"/>
  <c r="AK17" i="379"/>
  <c r="AK16" i="379"/>
  <c r="D7" i="379"/>
  <c r="A1" i="379" a="1"/>
  <c r="A1" i="379" s="1"/>
  <c r="D4" i="379" s="1"/>
  <c r="W34" i="378"/>
  <c r="W33" i="378"/>
  <c r="W32" i="378"/>
  <c r="AK20" i="378"/>
  <c r="AK21" i="378" s="1"/>
  <c r="D19" i="378"/>
  <c r="AK17" i="378"/>
  <c r="AK16" i="378"/>
  <c r="D7" i="378"/>
  <c r="A1" i="378" a="1"/>
  <c r="A1" i="378" s="1"/>
  <c r="D4" i="378" s="1"/>
  <c r="S28" i="386" l="1"/>
  <c r="G14" i="384"/>
  <c r="G26" i="384"/>
  <c r="AE24" i="382" a="1"/>
  <c r="AE24" i="382" s="1"/>
  <c r="W24" i="382" a="1"/>
  <c r="W24" i="382" s="1"/>
  <c r="O24" i="382" a="1"/>
  <c r="O24" i="382" s="1"/>
  <c r="G24" i="382" a="1"/>
  <c r="G24" i="382" s="1"/>
  <c r="AF12" i="382" a="1"/>
  <c r="AF12" i="382" s="1"/>
  <c r="AB12" i="382" a="1"/>
  <c r="AB12" i="382" s="1"/>
  <c r="X12" i="382" a="1"/>
  <c r="X12" i="382" s="1"/>
  <c r="AH24" i="382" a="1"/>
  <c r="AH24" i="382" s="1"/>
  <c r="AD24" i="382" a="1"/>
  <c r="AD24" i="382" s="1"/>
  <c r="Z24" i="382" a="1"/>
  <c r="Z24" i="382" s="1"/>
  <c r="V24" i="382" a="1"/>
  <c r="V24" i="382" s="1"/>
  <c r="R24" i="382" a="1"/>
  <c r="R24" i="382" s="1"/>
  <c r="N24" i="382" a="1"/>
  <c r="N24" i="382" s="1"/>
  <c r="J24" i="382" a="1"/>
  <c r="J24" i="382" s="1"/>
  <c r="F24" i="382" a="1"/>
  <c r="F24" i="382" s="1"/>
  <c r="AE12" i="382" a="1"/>
  <c r="AE12" i="382" s="1"/>
  <c r="AA12" i="382" a="1"/>
  <c r="AA12" i="382" s="1"/>
  <c r="W12" i="382" a="1"/>
  <c r="W12" i="382" s="1"/>
  <c r="AG24" i="382" a="1"/>
  <c r="AG24" i="382" s="1"/>
  <c r="AC24" i="382" a="1"/>
  <c r="AC24" i="382" s="1"/>
  <c r="Y24" i="382" a="1"/>
  <c r="Y24" i="382" s="1"/>
  <c r="U24" i="382" a="1"/>
  <c r="U24" i="382" s="1"/>
  <c r="Q24" i="382" a="1"/>
  <c r="Q24" i="382" s="1"/>
  <c r="M24" i="382" a="1"/>
  <c r="M24" i="382" s="1"/>
  <c r="I24" i="382" a="1"/>
  <c r="I24" i="382" s="1"/>
  <c r="E24" i="382" a="1"/>
  <c r="E24" i="382" s="1"/>
  <c r="AH12" i="382" a="1"/>
  <c r="AH12" i="382" s="1"/>
  <c r="AD12" i="382" a="1"/>
  <c r="AD12" i="382" s="1"/>
  <c r="Z12" i="382" a="1"/>
  <c r="Z12" i="382" s="1"/>
  <c r="AA24" i="382" a="1"/>
  <c r="AA24" i="382" s="1"/>
  <c r="S24" i="382" a="1"/>
  <c r="S24" i="382" s="1"/>
  <c r="K24" i="382" a="1"/>
  <c r="K24" i="382" s="1"/>
  <c r="X4" i="382" a="1"/>
  <c r="X4" i="382" s="1"/>
  <c r="AF24" i="382" a="1"/>
  <c r="AF24" i="382" s="1"/>
  <c r="AB24" i="382" a="1"/>
  <c r="AB24" i="382" s="1"/>
  <c r="X24" i="382" a="1"/>
  <c r="X24" i="382" s="1"/>
  <c r="T24" i="382" a="1"/>
  <c r="T24" i="382" s="1"/>
  <c r="P24" i="382" a="1"/>
  <c r="P24" i="382" s="1"/>
  <c r="L24" i="382" a="1"/>
  <c r="L24" i="382" s="1"/>
  <c r="H24" i="382" a="1"/>
  <c r="H24" i="382" s="1"/>
  <c r="D24" i="382" a="1"/>
  <c r="D24" i="382" s="1"/>
  <c r="AG12" i="382" a="1"/>
  <c r="AG12" i="382" s="1"/>
  <c r="AC12" i="382" a="1"/>
  <c r="AC12" i="382" s="1"/>
  <c r="Y12" i="382" a="1"/>
  <c r="Y12" i="382" s="1"/>
  <c r="W26" i="382" a="1"/>
  <c r="W26" i="382" s="1"/>
  <c r="M4" i="382" a="1"/>
  <c r="M4" i="382" s="1"/>
  <c r="H32" i="382" s="1"/>
  <c r="AH24" i="381" a="1"/>
  <c r="AH24" i="381" s="1"/>
  <c r="AD24" i="381" a="1"/>
  <c r="AD24" i="381" s="1"/>
  <c r="Z24" i="381" a="1"/>
  <c r="Z24" i="381" s="1"/>
  <c r="V24" i="381" a="1"/>
  <c r="V24" i="381" s="1"/>
  <c r="R24" i="381" a="1"/>
  <c r="R24" i="381" s="1"/>
  <c r="N24" i="381" a="1"/>
  <c r="N24" i="381" s="1"/>
  <c r="J24" i="381" a="1"/>
  <c r="J24" i="381" s="1"/>
  <c r="F24" i="381" a="1"/>
  <c r="F24" i="381" s="1"/>
  <c r="AE12" i="381" a="1"/>
  <c r="AE12" i="381" s="1"/>
  <c r="AA12" i="381" a="1"/>
  <c r="AA12" i="381" s="1"/>
  <c r="W12" i="381" a="1"/>
  <c r="W12" i="381" s="1"/>
  <c r="AG24" i="381" a="1"/>
  <c r="AG24" i="381" s="1"/>
  <c r="AC24" i="381" a="1"/>
  <c r="AC24" i="381" s="1"/>
  <c r="Y24" i="381" a="1"/>
  <c r="Y24" i="381" s="1"/>
  <c r="U24" i="381" a="1"/>
  <c r="U24" i="381" s="1"/>
  <c r="Q24" i="381" a="1"/>
  <c r="Q24" i="381" s="1"/>
  <c r="M24" i="381" a="1"/>
  <c r="M24" i="381" s="1"/>
  <c r="I24" i="381" a="1"/>
  <c r="I24" i="381" s="1"/>
  <c r="E24" i="381" a="1"/>
  <c r="E24" i="381" s="1"/>
  <c r="AH12" i="381" a="1"/>
  <c r="AH12" i="381" s="1"/>
  <c r="AD12" i="381" a="1"/>
  <c r="AD12" i="381" s="1"/>
  <c r="Z12" i="381" a="1"/>
  <c r="Z12" i="381" s="1"/>
  <c r="V12" i="381" a="1"/>
  <c r="V12" i="381" s="1"/>
  <c r="X4" i="381" a="1"/>
  <c r="X4" i="381" s="1"/>
  <c r="G24" i="381" a="1"/>
  <c r="G24" i="381" s="1"/>
  <c r="AF12" i="381" a="1"/>
  <c r="AF12" i="381" s="1"/>
  <c r="AB12" i="381" a="1"/>
  <c r="AB12" i="381" s="1"/>
  <c r="AF24" i="381" a="1"/>
  <c r="AF24" i="381" s="1"/>
  <c r="AB24" i="381" a="1"/>
  <c r="AB24" i="381" s="1"/>
  <c r="X24" i="381" a="1"/>
  <c r="X24" i="381" s="1"/>
  <c r="T24" i="381" a="1"/>
  <c r="T24" i="381" s="1"/>
  <c r="P24" i="381" a="1"/>
  <c r="P24" i="381" s="1"/>
  <c r="L24" i="381" a="1"/>
  <c r="L24" i="381" s="1"/>
  <c r="H24" i="381" a="1"/>
  <c r="H24" i="381" s="1"/>
  <c r="D24" i="381" a="1"/>
  <c r="D24" i="381" s="1"/>
  <c r="AG12" i="381" a="1"/>
  <c r="AG12" i="381" s="1"/>
  <c r="AC12" i="381" a="1"/>
  <c r="AC12" i="381" s="1"/>
  <c r="Y12" i="381" a="1"/>
  <c r="Y12" i="381" s="1"/>
  <c r="X12" i="381" a="1"/>
  <c r="X12" i="381" s="1"/>
  <c r="W26" i="381" a="1"/>
  <c r="W26" i="381" s="1"/>
  <c r="M4" i="381" a="1"/>
  <c r="M4" i="381" s="1"/>
  <c r="H32" i="381" s="1"/>
  <c r="AE24" i="381" a="1"/>
  <c r="AE24" i="381" s="1"/>
  <c r="AA24" i="381" a="1"/>
  <c r="AA24" i="381" s="1"/>
  <c r="W24" i="381" a="1"/>
  <c r="W24" i="381" s="1"/>
  <c r="S24" i="381" a="1"/>
  <c r="S24" i="381" s="1"/>
  <c r="O24" i="381" a="1"/>
  <c r="O24" i="381" s="1"/>
  <c r="K24" i="381" a="1"/>
  <c r="K24" i="381" s="1"/>
  <c r="M4" i="379" a="1"/>
  <c r="M4" i="379" s="1"/>
  <c r="H32" i="379" s="1"/>
  <c r="AA24" i="379" a="1"/>
  <c r="AA24" i="379" s="1"/>
  <c r="K24" i="379" a="1"/>
  <c r="K24" i="379" s="1"/>
  <c r="AB12" i="379" a="1"/>
  <c r="AB12" i="379" s="1"/>
  <c r="AH24" i="379" a="1"/>
  <c r="AH24" i="379" s="1"/>
  <c r="AD24" i="379" a="1"/>
  <c r="AD24" i="379" s="1"/>
  <c r="Z24" i="379" a="1"/>
  <c r="Z24" i="379" s="1"/>
  <c r="V24" i="379" a="1"/>
  <c r="V24" i="379" s="1"/>
  <c r="R24" i="379" a="1"/>
  <c r="R24" i="379" s="1"/>
  <c r="N24" i="379" a="1"/>
  <c r="N24" i="379" s="1"/>
  <c r="J24" i="379" a="1"/>
  <c r="J24" i="379" s="1"/>
  <c r="F24" i="379" a="1"/>
  <c r="F24" i="379" s="1"/>
  <c r="AE12" i="379" a="1"/>
  <c r="AE12" i="379" s="1"/>
  <c r="AA12" i="379" a="1"/>
  <c r="AA12" i="379" s="1"/>
  <c r="W12" i="379" a="1"/>
  <c r="W12" i="379" s="1"/>
  <c r="AG24" i="379" a="1"/>
  <c r="AG24" i="379" s="1"/>
  <c r="AC24" i="379" a="1"/>
  <c r="AC24" i="379" s="1"/>
  <c r="Y24" i="379" a="1"/>
  <c r="Y24" i="379" s="1"/>
  <c r="U24" i="379" a="1"/>
  <c r="U24" i="379" s="1"/>
  <c r="Q24" i="379" a="1"/>
  <c r="Q24" i="379" s="1"/>
  <c r="M24" i="379" a="1"/>
  <c r="M24" i="379" s="1"/>
  <c r="I24" i="379" a="1"/>
  <c r="I24" i="379" s="1"/>
  <c r="E24" i="379" a="1"/>
  <c r="E24" i="379" s="1"/>
  <c r="AH12" i="379" a="1"/>
  <c r="AH12" i="379" s="1"/>
  <c r="AD12" i="379" a="1"/>
  <c r="AD12" i="379" s="1"/>
  <c r="Z12" i="379" a="1"/>
  <c r="Z12" i="379" s="1"/>
  <c r="V12" i="379" a="1"/>
  <c r="V12" i="379" s="1"/>
  <c r="W24" i="379" a="1"/>
  <c r="W24" i="379" s="1"/>
  <c r="X4" i="379" a="1"/>
  <c r="X4" i="379" s="1"/>
  <c r="AF24" i="379" a="1"/>
  <c r="AF24" i="379" s="1"/>
  <c r="AB24" i="379" a="1"/>
  <c r="AB24" i="379" s="1"/>
  <c r="X24" i="379" a="1"/>
  <c r="X24" i="379" s="1"/>
  <c r="T24" i="379" a="1"/>
  <c r="T24" i="379" s="1"/>
  <c r="P24" i="379" a="1"/>
  <c r="P24" i="379" s="1"/>
  <c r="L24" i="379" a="1"/>
  <c r="L24" i="379" s="1"/>
  <c r="H24" i="379" a="1"/>
  <c r="H24" i="379" s="1"/>
  <c r="D24" i="379" a="1"/>
  <c r="D24" i="379" s="1"/>
  <c r="AG12" i="379" a="1"/>
  <c r="AG12" i="379" s="1"/>
  <c r="AC12" i="379" a="1"/>
  <c r="AC12" i="379" s="1"/>
  <c r="Y12" i="379" a="1"/>
  <c r="Y12" i="379" s="1"/>
  <c r="W26" i="379" a="1"/>
  <c r="W26" i="379" s="1"/>
  <c r="AE24" i="379" a="1"/>
  <c r="AE24" i="379" s="1"/>
  <c r="S24" i="379" a="1"/>
  <c r="S24" i="379" s="1"/>
  <c r="O24" i="379" a="1"/>
  <c r="O24" i="379" s="1"/>
  <c r="G24" i="379" a="1"/>
  <c r="G24" i="379" s="1"/>
  <c r="AF12" i="379" a="1"/>
  <c r="AF12" i="379" s="1"/>
  <c r="X12" i="379" a="1"/>
  <c r="X12" i="379" s="1"/>
  <c r="AH24" i="378" a="1"/>
  <c r="AH24" i="378" s="1"/>
  <c r="AD24" i="378" a="1"/>
  <c r="AD24" i="378" s="1"/>
  <c r="Z24" i="378" a="1"/>
  <c r="Z24" i="378" s="1"/>
  <c r="V24" i="378" a="1"/>
  <c r="V24" i="378" s="1"/>
  <c r="R24" i="378" a="1"/>
  <c r="R24" i="378" s="1"/>
  <c r="N24" i="378" a="1"/>
  <c r="N24" i="378" s="1"/>
  <c r="J24" i="378" a="1"/>
  <c r="J24" i="378" s="1"/>
  <c r="F24" i="378" a="1"/>
  <c r="F24" i="378" s="1"/>
  <c r="AE12" i="378" a="1"/>
  <c r="AE12" i="378" s="1"/>
  <c r="AA12" i="378" a="1"/>
  <c r="AA12" i="378" s="1"/>
  <c r="W12" i="378" a="1"/>
  <c r="W12" i="378" s="1"/>
  <c r="AG24" i="378" a="1"/>
  <c r="AG24" i="378" s="1"/>
  <c r="AC24" i="378" a="1"/>
  <c r="AC24" i="378" s="1"/>
  <c r="Y24" i="378" a="1"/>
  <c r="Y24" i="378" s="1"/>
  <c r="U24" i="378" a="1"/>
  <c r="U24" i="378" s="1"/>
  <c r="Q24" i="378" a="1"/>
  <c r="Q24" i="378" s="1"/>
  <c r="M24" i="378" a="1"/>
  <c r="M24" i="378" s="1"/>
  <c r="I24" i="378" a="1"/>
  <c r="I24" i="378" s="1"/>
  <c r="E24" i="378" a="1"/>
  <c r="E24" i="378" s="1"/>
  <c r="AH12" i="378" a="1"/>
  <c r="AH12" i="378" s="1"/>
  <c r="AD12" i="378" a="1"/>
  <c r="AD12" i="378" s="1"/>
  <c r="Z12" i="378" a="1"/>
  <c r="Z12" i="378" s="1"/>
  <c r="V12" i="378" a="1"/>
  <c r="V12" i="378" s="1"/>
  <c r="X4" i="378" a="1"/>
  <c r="X4" i="378" s="1"/>
  <c r="X12" i="378" a="1"/>
  <c r="X12" i="378" s="1"/>
  <c r="AF24" i="378" a="1"/>
  <c r="AF24" i="378" s="1"/>
  <c r="AB24" i="378" a="1"/>
  <c r="AB24" i="378" s="1"/>
  <c r="X24" i="378" a="1"/>
  <c r="X24" i="378" s="1"/>
  <c r="T24" i="378" a="1"/>
  <c r="T24" i="378" s="1"/>
  <c r="P24" i="378" a="1"/>
  <c r="P24" i="378" s="1"/>
  <c r="L24" i="378" a="1"/>
  <c r="L24" i="378" s="1"/>
  <c r="H24" i="378" a="1"/>
  <c r="H24" i="378" s="1"/>
  <c r="D24" i="378" a="1"/>
  <c r="D24" i="378" s="1"/>
  <c r="AG12" i="378" a="1"/>
  <c r="AG12" i="378" s="1"/>
  <c r="AC12" i="378" a="1"/>
  <c r="AC12" i="378" s="1"/>
  <c r="Y12" i="378" a="1"/>
  <c r="Y12" i="378" s="1"/>
  <c r="O24" i="378" a="1"/>
  <c r="O24" i="378" s="1"/>
  <c r="W26" i="378" a="1"/>
  <c r="W26" i="378" s="1"/>
  <c r="M4" i="378" a="1"/>
  <c r="M4" i="378" s="1"/>
  <c r="H32" i="378" s="1"/>
  <c r="AE24" i="378" a="1"/>
  <c r="AE24" i="378" s="1"/>
  <c r="AA24" i="378" a="1"/>
  <c r="AA24" i="378" s="1"/>
  <c r="W24" i="378" a="1"/>
  <c r="W24" i="378" s="1"/>
  <c r="S24" i="378" a="1"/>
  <c r="S24" i="378" s="1"/>
  <c r="K24" i="378" a="1"/>
  <c r="K24" i="378" s="1"/>
  <c r="G24" i="378" a="1"/>
  <c r="G24" i="378" s="1"/>
  <c r="AF12" i="378" a="1"/>
  <c r="AF12" i="378" s="1"/>
  <c r="AB12" i="378" a="1"/>
  <c r="AB12" i="378" s="1"/>
  <c r="BS20" i="1"/>
  <c r="BR32" i="1"/>
  <c r="BS32" i="1"/>
  <c r="BR21" i="1"/>
  <c r="BS21" i="1"/>
  <c r="BR17" i="1"/>
  <c r="BS17" i="1"/>
  <c r="W34" i="377"/>
  <c r="W33" i="377"/>
  <c r="W32" i="377"/>
  <c r="AK20" i="377"/>
  <c r="AK21" i="377" s="1"/>
  <c r="D19" i="377"/>
  <c r="AK16" i="377"/>
  <c r="AK17" i="377" s="1"/>
  <c r="D7" i="377"/>
  <c r="A1" i="377" a="1"/>
  <c r="A1" i="377" s="1"/>
  <c r="D4" i="377" s="1"/>
  <c r="W34" i="375"/>
  <c r="W33" i="375"/>
  <c r="W32" i="375"/>
  <c r="AK21" i="375"/>
  <c r="AK20" i="375"/>
  <c r="D19" i="375"/>
  <c r="AK17" i="375"/>
  <c r="AK16" i="375"/>
  <c r="D7" i="375"/>
  <c r="A1" i="375" a="1"/>
  <c r="A1" i="375" s="1"/>
  <c r="D4" i="375" s="1"/>
  <c r="W34" i="374"/>
  <c r="W33" i="374"/>
  <c r="W32" i="374"/>
  <c r="AK20" i="374"/>
  <c r="AK21" i="374" s="1"/>
  <c r="D19" i="374"/>
  <c r="AK16" i="374"/>
  <c r="AK17" i="374" s="1"/>
  <c r="D7" i="374"/>
  <c r="A1" i="374" a="1"/>
  <c r="A1" i="374" s="1"/>
  <c r="D4" i="374" s="1"/>
  <c r="BR4" i="1"/>
  <c r="BS4" i="1"/>
  <c r="BR5" i="1"/>
  <c r="BS5" i="1"/>
  <c r="BR6" i="1"/>
  <c r="BS6" i="1"/>
  <c r="BR7" i="1"/>
  <c r="BS7" i="1"/>
  <c r="BR9" i="1"/>
  <c r="BS9" i="1"/>
  <c r="BR10" i="1"/>
  <c r="BS10" i="1"/>
  <c r="BR13" i="1"/>
  <c r="BS13" i="1"/>
  <c r="BR14" i="1"/>
  <c r="BS14" i="1"/>
  <c r="BR16" i="1"/>
  <c r="BS16" i="1"/>
  <c r="BR18" i="1"/>
  <c r="BS18" i="1"/>
  <c r="BR19" i="1"/>
  <c r="BS19" i="1"/>
  <c r="BR20" i="1"/>
  <c r="BR22" i="1"/>
  <c r="BS22" i="1"/>
  <c r="BR23" i="1"/>
  <c r="BS23" i="1"/>
  <c r="BR24" i="1"/>
  <c r="BS24" i="1"/>
  <c r="BR25" i="1"/>
  <c r="BS25" i="1"/>
  <c r="BR26" i="1"/>
  <c r="BS26" i="1"/>
  <c r="BR27" i="1"/>
  <c r="BS27" i="1"/>
  <c r="BR28" i="1"/>
  <c r="BS28" i="1"/>
  <c r="BR29" i="1"/>
  <c r="BS29" i="1"/>
  <c r="BR30" i="1"/>
  <c r="BS30" i="1"/>
  <c r="BR31" i="1"/>
  <c r="BS31" i="1"/>
  <c r="BR33" i="1"/>
  <c r="BS33" i="1"/>
  <c r="BR34" i="1"/>
  <c r="BS34" i="1"/>
  <c r="BR35" i="1"/>
  <c r="BS35" i="1"/>
  <c r="BR36" i="1"/>
  <c r="BS36" i="1"/>
  <c r="BR39" i="1"/>
  <c r="BS39" i="1"/>
  <c r="BR40" i="1"/>
  <c r="BS40" i="1"/>
  <c r="BR41" i="1"/>
  <c r="BS41" i="1"/>
  <c r="BR42" i="1"/>
  <c r="BS42" i="1"/>
  <c r="BR43" i="1"/>
  <c r="BS43" i="1"/>
  <c r="BR44" i="1"/>
  <c r="BS44" i="1"/>
  <c r="BR45" i="1"/>
  <c r="BS45" i="1"/>
  <c r="BR46" i="1"/>
  <c r="BS46" i="1"/>
  <c r="BR47" i="1"/>
  <c r="BS47" i="1"/>
  <c r="BR48" i="1"/>
  <c r="BS48" i="1"/>
  <c r="BR49" i="1"/>
  <c r="BS49" i="1"/>
  <c r="BR50" i="1"/>
  <c r="BS50" i="1"/>
  <c r="BR51" i="1"/>
  <c r="BS51" i="1"/>
  <c r="BR52" i="1"/>
  <c r="BS52" i="1"/>
  <c r="BR53" i="1"/>
  <c r="BS53" i="1"/>
  <c r="BR54" i="1"/>
  <c r="BS54" i="1"/>
  <c r="BS3" i="1"/>
  <c r="BR3" i="1"/>
  <c r="W34" i="371"/>
  <c r="W33" i="371"/>
  <c r="W32" i="371"/>
  <c r="AK20" i="371"/>
  <c r="AK21" i="371" s="1"/>
  <c r="D19" i="371"/>
  <c r="AK17" i="371"/>
  <c r="AK16" i="371"/>
  <c r="D7" i="371"/>
  <c r="A1" i="371" a="1"/>
  <c r="A1" i="371" s="1"/>
  <c r="D4" i="371" s="1"/>
  <c r="V12" i="371" s="1" a="1"/>
  <c r="V12" i="371" s="1"/>
  <c r="W34" i="370"/>
  <c r="W33" i="370"/>
  <c r="W32" i="370"/>
  <c r="AK20" i="370"/>
  <c r="AK21" i="370" s="1"/>
  <c r="D19" i="370"/>
  <c r="AK17" i="370"/>
  <c r="AK16" i="370"/>
  <c r="D7" i="370"/>
  <c r="A1" i="370" a="1"/>
  <c r="A1" i="370" s="1"/>
  <c r="D4" i="370" s="1"/>
  <c r="V12" i="370" s="1" a="1"/>
  <c r="V12" i="370" s="1"/>
  <c r="W34" i="369"/>
  <c r="W33" i="369"/>
  <c r="W32" i="369"/>
  <c r="AK20" i="369"/>
  <c r="AK21" i="369" s="1"/>
  <c r="D19" i="369"/>
  <c r="AK16" i="369"/>
  <c r="AK17" i="369" s="1"/>
  <c r="D7" i="369"/>
  <c r="A1" i="369" a="1"/>
  <c r="A1" i="369" s="1"/>
  <c r="D4" i="369" s="1"/>
  <c r="AA12" i="369" s="1" a="1"/>
  <c r="AA12" i="369" s="1"/>
  <c r="W34" i="368"/>
  <c r="W33" i="368"/>
  <c r="W32" i="368"/>
  <c r="AK20" i="368"/>
  <c r="AK21" i="368" s="1"/>
  <c r="D19" i="368"/>
  <c r="AK17" i="368"/>
  <c r="AK16" i="368"/>
  <c r="D7" i="368"/>
  <c r="A1" i="368" a="1"/>
  <c r="A1" i="368" s="1"/>
  <c r="D4" i="368" s="1"/>
  <c r="V12" i="368" s="1" a="1"/>
  <c r="V12" i="368" s="1"/>
  <c r="W34" i="367"/>
  <c r="W33" i="367"/>
  <c r="W32" i="367"/>
  <c r="AK20" i="367"/>
  <c r="AK21" i="367" s="1"/>
  <c r="D19" i="367"/>
  <c r="AK17" i="367"/>
  <c r="AK16" i="367"/>
  <c r="D7" i="367"/>
  <c r="A1" i="367" a="1"/>
  <c r="A1" i="367" s="1"/>
  <c r="D4" i="367" s="1"/>
  <c r="V12" i="367" s="1" a="1"/>
  <c r="V12" i="367" s="1"/>
  <c r="W34" i="364"/>
  <c r="W33" i="364"/>
  <c r="W32" i="364"/>
  <c r="AK20" i="364"/>
  <c r="AK21" i="364" s="1"/>
  <c r="D19" i="364"/>
  <c r="AK17" i="364"/>
  <c r="AK16" i="364"/>
  <c r="D7" i="364"/>
  <c r="A1" i="364" a="1"/>
  <c r="A1" i="364" s="1"/>
  <c r="D4" i="364" s="1"/>
  <c r="V12" i="364" s="1" a="1"/>
  <c r="V12" i="364" s="1"/>
  <c r="W34" i="363"/>
  <c r="W33" i="363"/>
  <c r="W32" i="363"/>
  <c r="AK20" i="363"/>
  <c r="AK21" i="363" s="1"/>
  <c r="D19" i="363"/>
  <c r="AK17" i="363"/>
  <c r="AK16" i="363"/>
  <c r="D7" i="363"/>
  <c r="A1" i="363" a="1"/>
  <c r="A1" i="363" s="1"/>
  <c r="D4" i="363" s="1"/>
  <c r="V12" i="363" s="1" a="1"/>
  <c r="V12" i="363" s="1"/>
  <c r="W34" i="362"/>
  <c r="W33" i="362"/>
  <c r="W32" i="362"/>
  <c r="AK20" i="362"/>
  <c r="AK21" i="362" s="1"/>
  <c r="D19" i="362"/>
  <c r="AK17" i="362"/>
  <c r="AK16" i="362"/>
  <c r="D7" i="362"/>
  <c r="A1" i="362" a="1"/>
  <c r="A1" i="362" s="1"/>
  <c r="D4" i="362" s="1"/>
  <c r="V12" i="362" s="1" a="1"/>
  <c r="V12" i="362" s="1"/>
  <c r="W34" i="361"/>
  <c r="W33" i="361"/>
  <c r="W32" i="361"/>
  <c r="AK20" i="361"/>
  <c r="AK21" i="361" s="1"/>
  <c r="D19" i="361"/>
  <c r="AK17" i="361"/>
  <c r="AK16" i="361"/>
  <c r="D7" i="361"/>
  <c r="A1" i="361" a="1"/>
  <c r="A1" i="361" s="1"/>
  <c r="D4" i="361" s="1"/>
  <c r="V12" i="361" s="1" a="1"/>
  <c r="V12" i="361" s="1"/>
  <c r="W34" i="360"/>
  <c r="W33" i="360"/>
  <c r="W32" i="360"/>
  <c r="AK20" i="360"/>
  <c r="AK21" i="360" s="1"/>
  <c r="D19" i="360"/>
  <c r="AK17" i="360"/>
  <c r="AK16" i="360"/>
  <c r="D7" i="360"/>
  <c r="A1" i="360" a="1"/>
  <c r="A1" i="360" s="1"/>
  <c r="D4" i="360" s="1"/>
  <c r="V12" i="360" s="1" a="1"/>
  <c r="V12" i="360" s="1"/>
  <c r="W34" i="359"/>
  <c r="W33" i="359"/>
  <c r="W32" i="359"/>
  <c r="AK20" i="359"/>
  <c r="AK21" i="359" s="1"/>
  <c r="D19" i="359"/>
  <c r="AK17" i="359"/>
  <c r="AK16" i="359"/>
  <c r="D7" i="359"/>
  <c r="A1" i="359" a="1"/>
  <c r="A1" i="359" s="1"/>
  <c r="D4" i="359" s="1"/>
  <c r="V12" i="359" s="1" a="1"/>
  <c r="V12" i="359" s="1"/>
  <c r="W34" i="356"/>
  <c r="W33" i="356"/>
  <c r="W32" i="356"/>
  <c r="AK20" i="356"/>
  <c r="AK21" i="356" s="1"/>
  <c r="D19" i="356"/>
  <c r="AK17" i="356"/>
  <c r="AK16" i="356"/>
  <c r="D7" i="356"/>
  <c r="A1" i="356" a="1"/>
  <c r="A1" i="356" s="1"/>
  <c r="D4" i="356" s="1"/>
  <c r="V12" i="356" s="1" a="1"/>
  <c r="V12" i="356" s="1"/>
  <c r="W34" i="351"/>
  <c r="W33" i="351"/>
  <c r="W32" i="351"/>
  <c r="AK20" i="351"/>
  <c r="AK21" i="351" s="1"/>
  <c r="D19" i="351"/>
  <c r="AK17" i="351"/>
  <c r="AK16" i="351"/>
  <c r="D7" i="351"/>
  <c r="A1" i="351" a="1"/>
  <c r="A1" i="351" s="1"/>
  <c r="D4" i="351" s="1"/>
  <c r="V12" i="351" s="1" a="1"/>
  <c r="V12" i="351" s="1"/>
  <c r="G26" i="382" l="1"/>
  <c r="S28" i="384"/>
  <c r="G14" i="382"/>
  <c r="G14" i="381"/>
  <c r="G26" i="381"/>
  <c r="G26" i="379"/>
  <c r="G14" i="379"/>
  <c r="G14" i="378"/>
  <c r="G26" i="378"/>
  <c r="AH24" i="377" a="1"/>
  <c r="AH24" i="377" s="1"/>
  <c r="AD24" i="377" a="1"/>
  <c r="AD24" i="377" s="1"/>
  <c r="Z24" i="377" a="1"/>
  <c r="Z24" i="377" s="1"/>
  <c r="V24" i="377" a="1"/>
  <c r="V24" i="377" s="1"/>
  <c r="R24" i="377" a="1"/>
  <c r="R24" i="377" s="1"/>
  <c r="N24" i="377" a="1"/>
  <c r="N24" i="377" s="1"/>
  <c r="J24" i="377" a="1"/>
  <c r="J24" i="377" s="1"/>
  <c r="F24" i="377" a="1"/>
  <c r="F24" i="377" s="1"/>
  <c r="AE12" i="377" a="1"/>
  <c r="AE12" i="377" s="1"/>
  <c r="AA12" i="377" a="1"/>
  <c r="AA12" i="377" s="1"/>
  <c r="W12" i="377" a="1"/>
  <c r="W12" i="377" s="1"/>
  <c r="AG24" i="377" a="1"/>
  <c r="AG24" i="377" s="1"/>
  <c r="AC24" i="377" a="1"/>
  <c r="AC24" i="377" s="1"/>
  <c r="Y24" i="377" a="1"/>
  <c r="Y24" i="377" s="1"/>
  <c r="U24" i="377" a="1"/>
  <c r="U24" i="377" s="1"/>
  <c r="Q24" i="377" a="1"/>
  <c r="Q24" i="377" s="1"/>
  <c r="M24" i="377" a="1"/>
  <c r="M24" i="377" s="1"/>
  <c r="I24" i="377" a="1"/>
  <c r="I24" i="377" s="1"/>
  <c r="E24" i="377" a="1"/>
  <c r="E24" i="377" s="1"/>
  <c r="AH12" i="377" a="1"/>
  <c r="AH12" i="377" s="1"/>
  <c r="AD12" i="377" a="1"/>
  <c r="AD12" i="377" s="1"/>
  <c r="Z12" i="377" a="1"/>
  <c r="Z12" i="377" s="1"/>
  <c r="V12" i="377" a="1"/>
  <c r="V12" i="377" s="1"/>
  <c r="X4" i="377" a="1"/>
  <c r="X4" i="377" s="1"/>
  <c r="W26" i="377" a="1"/>
  <c r="W26" i="377" s="1"/>
  <c r="M4" i="377" a="1"/>
  <c r="M4" i="377" s="1"/>
  <c r="H32" i="377" s="1"/>
  <c r="AF24" i="377" a="1"/>
  <c r="AF24" i="377" s="1"/>
  <c r="AB24" i="377" a="1"/>
  <c r="AB24" i="377" s="1"/>
  <c r="X24" i="377" a="1"/>
  <c r="X24" i="377" s="1"/>
  <c r="T24" i="377" a="1"/>
  <c r="T24" i="377" s="1"/>
  <c r="P24" i="377" a="1"/>
  <c r="P24" i="377" s="1"/>
  <c r="L24" i="377" a="1"/>
  <c r="L24" i="377" s="1"/>
  <c r="H24" i="377" a="1"/>
  <c r="H24" i="377" s="1"/>
  <c r="D24" i="377" a="1"/>
  <c r="D24" i="377" s="1"/>
  <c r="AG12" i="377" a="1"/>
  <c r="AG12" i="377" s="1"/>
  <c r="AC12" i="377" a="1"/>
  <c r="AC12" i="377" s="1"/>
  <c r="Y12" i="377" a="1"/>
  <c r="Y12" i="377" s="1"/>
  <c r="AE24" i="377" a="1"/>
  <c r="AE24" i="377" s="1"/>
  <c r="AA24" i="377" a="1"/>
  <c r="AA24" i="377" s="1"/>
  <c r="W24" i="377" a="1"/>
  <c r="W24" i="377" s="1"/>
  <c r="S24" i="377" a="1"/>
  <c r="S24" i="377" s="1"/>
  <c r="O24" i="377" a="1"/>
  <c r="O24" i="377" s="1"/>
  <c r="K24" i="377" a="1"/>
  <c r="K24" i="377" s="1"/>
  <c r="G24" i="377" a="1"/>
  <c r="G24" i="377" s="1"/>
  <c r="AF12" i="377" a="1"/>
  <c r="AF12" i="377" s="1"/>
  <c r="AB12" i="377" a="1"/>
  <c r="AB12" i="377" s="1"/>
  <c r="X12" i="377" a="1"/>
  <c r="X12" i="377" s="1"/>
  <c r="AH24" i="375" a="1"/>
  <c r="AH24" i="375" s="1"/>
  <c r="AD24" i="375" a="1"/>
  <c r="AD24" i="375" s="1"/>
  <c r="Z24" i="375" a="1"/>
  <c r="Z24" i="375" s="1"/>
  <c r="V24" i="375" a="1"/>
  <c r="V24" i="375" s="1"/>
  <c r="R24" i="375" a="1"/>
  <c r="R24" i="375" s="1"/>
  <c r="N24" i="375" a="1"/>
  <c r="N24" i="375" s="1"/>
  <c r="J24" i="375" a="1"/>
  <c r="J24" i="375" s="1"/>
  <c r="F24" i="375" a="1"/>
  <c r="F24" i="375" s="1"/>
  <c r="AE12" i="375" a="1"/>
  <c r="AE12" i="375" s="1"/>
  <c r="AA12" i="375" a="1"/>
  <c r="AA12" i="375" s="1"/>
  <c r="W12" i="375" a="1"/>
  <c r="W12" i="375" s="1"/>
  <c r="AG24" i="375" a="1"/>
  <c r="AG24" i="375" s="1"/>
  <c r="AC24" i="375" a="1"/>
  <c r="AC24" i="375" s="1"/>
  <c r="Y24" i="375" a="1"/>
  <c r="Y24" i="375" s="1"/>
  <c r="U24" i="375" a="1"/>
  <c r="U24" i="375" s="1"/>
  <c r="Q24" i="375" a="1"/>
  <c r="Q24" i="375" s="1"/>
  <c r="M24" i="375" a="1"/>
  <c r="M24" i="375" s="1"/>
  <c r="I24" i="375" a="1"/>
  <c r="I24" i="375" s="1"/>
  <c r="E24" i="375" a="1"/>
  <c r="E24" i="375" s="1"/>
  <c r="AH12" i="375" a="1"/>
  <c r="AH12" i="375" s="1"/>
  <c r="AD12" i="375" a="1"/>
  <c r="AD12" i="375" s="1"/>
  <c r="Z12" i="375" a="1"/>
  <c r="Z12" i="375" s="1"/>
  <c r="V12" i="375" a="1"/>
  <c r="V12" i="375" s="1"/>
  <c r="X4" i="375" a="1"/>
  <c r="X4" i="375" s="1"/>
  <c r="AF24" i="375" a="1"/>
  <c r="AF24" i="375" s="1"/>
  <c r="AB24" i="375" a="1"/>
  <c r="AB24" i="375" s="1"/>
  <c r="X24" i="375" a="1"/>
  <c r="X24" i="375" s="1"/>
  <c r="T24" i="375" a="1"/>
  <c r="T24" i="375" s="1"/>
  <c r="P24" i="375" a="1"/>
  <c r="P24" i="375" s="1"/>
  <c r="L24" i="375" a="1"/>
  <c r="L24" i="375" s="1"/>
  <c r="H24" i="375" a="1"/>
  <c r="H24" i="375" s="1"/>
  <c r="D24" i="375" a="1"/>
  <c r="D24" i="375" s="1"/>
  <c r="AG12" i="375" a="1"/>
  <c r="AG12" i="375" s="1"/>
  <c r="AC12" i="375" a="1"/>
  <c r="AC12" i="375" s="1"/>
  <c r="Y12" i="375" a="1"/>
  <c r="Y12" i="375" s="1"/>
  <c r="W26" i="375" a="1"/>
  <c r="W26" i="375" s="1"/>
  <c r="M4" i="375" a="1"/>
  <c r="M4" i="375" s="1"/>
  <c r="H32" i="375" s="1"/>
  <c r="AE24" i="375" a="1"/>
  <c r="AE24" i="375" s="1"/>
  <c r="AA24" i="375" a="1"/>
  <c r="AA24" i="375" s="1"/>
  <c r="W24" i="375" a="1"/>
  <c r="W24" i="375" s="1"/>
  <c r="S24" i="375" a="1"/>
  <c r="S24" i="375" s="1"/>
  <c r="O24" i="375" a="1"/>
  <c r="O24" i="375" s="1"/>
  <c r="K24" i="375" a="1"/>
  <c r="K24" i="375" s="1"/>
  <c r="G24" i="375" a="1"/>
  <c r="G24" i="375" s="1"/>
  <c r="AF12" i="375" a="1"/>
  <c r="AF12" i="375" s="1"/>
  <c r="AB12" i="375" a="1"/>
  <c r="AB12" i="375" s="1"/>
  <c r="X12" i="375" a="1"/>
  <c r="X12" i="375" s="1"/>
  <c r="AH24" i="374" a="1"/>
  <c r="AH24" i="374" s="1"/>
  <c r="AD24" i="374" a="1"/>
  <c r="AD24" i="374" s="1"/>
  <c r="Z24" i="374" a="1"/>
  <c r="Z24" i="374" s="1"/>
  <c r="V24" i="374" a="1"/>
  <c r="V24" i="374" s="1"/>
  <c r="R24" i="374" a="1"/>
  <c r="R24" i="374" s="1"/>
  <c r="N24" i="374" a="1"/>
  <c r="N24" i="374" s="1"/>
  <c r="J24" i="374" a="1"/>
  <c r="J24" i="374" s="1"/>
  <c r="F24" i="374" a="1"/>
  <c r="F24" i="374" s="1"/>
  <c r="AE12" i="374" a="1"/>
  <c r="AE12" i="374" s="1"/>
  <c r="AA12" i="374" a="1"/>
  <c r="AA12" i="374" s="1"/>
  <c r="W12" i="374" a="1"/>
  <c r="W12" i="374" s="1"/>
  <c r="W26" i="374" a="1"/>
  <c r="W26" i="374" s="1"/>
  <c r="M4" i="374" a="1"/>
  <c r="M4" i="374" s="1"/>
  <c r="H32" i="374" s="1"/>
  <c r="AG24" i="374" a="1"/>
  <c r="AG24" i="374" s="1"/>
  <c r="AC24" i="374" a="1"/>
  <c r="AC24" i="374" s="1"/>
  <c r="Y24" i="374" a="1"/>
  <c r="Y24" i="374" s="1"/>
  <c r="U24" i="374" a="1"/>
  <c r="U24" i="374" s="1"/>
  <c r="Q24" i="374" a="1"/>
  <c r="Q24" i="374" s="1"/>
  <c r="M24" i="374" a="1"/>
  <c r="M24" i="374" s="1"/>
  <c r="I24" i="374" a="1"/>
  <c r="I24" i="374" s="1"/>
  <c r="E24" i="374" a="1"/>
  <c r="E24" i="374" s="1"/>
  <c r="AH12" i="374" a="1"/>
  <c r="AH12" i="374" s="1"/>
  <c r="AD12" i="374" a="1"/>
  <c r="AD12" i="374" s="1"/>
  <c r="Z12" i="374" a="1"/>
  <c r="Z12" i="374" s="1"/>
  <c r="V12" i="374" a="1"/>
  <c r="V12" i="374" s="1"/>
  <c r="AF24" i="374" a="1"/>
  <c r="AF24" i="374" s="1"/>
  <c r="AB24" i="374" a="1"/>
  <c r="AB24" i="374" s="1"/>
  <c r="X24" i="374" a="1"/>
  <c r="X24" i="374" s="1"/>
  <c r="T24" i="374" a="1"/>
  <c r="T24" i="374" s="1"/>
  <c r="P24" i="374" a="1"/>
  <c r="P24" i="374" s="1"/>
  <c r="L24" i="374" a="1"/>
  <c r="L24" i="374" s="1"/>
  <c r="H24" i="374" a="1"/>
  <c r="H24" i="374" s="1"/>
  <c r="D24" i="374" a="1"/>
  <c r="D24" i="374" s="1"/>
  <c r="AG12" i="374" a="1"/>
  <c r="AG12" i="374" s="1"/>
  <c r="AC12" i="374" a="1"/>
  <c r="AC12" i="374" s="1"/>
  <c r="Y12" i="374" a="1"/>
  <c r="Y12" i="374" s="1"/>
  <c r="X4" i="374" a="1"/>
  <c r="X4" i="374" s="1"/>
  <c r="AE24" i="374" a="1"/>
  <c r="AE24" i="374" s="1"/>
  <c r="AA24" i="374" a="1"/>
  <c r="AA24" i="374" s="1"/>
  <c r="W24" i="374" a="1"/>
  <c r="W24" i="374" s="1"/>
  <c r="S24" i="374" a="1"/>
  <c r="S24" i="374" s="1"/>
  <c r="O24" i="374" a="1"/>
  <c r="O24" i="374" s="1"/>
  <c r="K24" i="374" a="1"/>
  <c r="K24" i="374" s="1"/>
  <c r="G24" i="374" a="1"/>
  <c r="G24" i="374" s="1"/>
  <c r="AF12" i="374" a="1"/>
  <c r="AF12" i="374" s="1"/>
  <c r="AB12" i="374" a="1"/>
  <c r="AB12" i="374" s="1"/>
  <c r="X12" i="374" a="1"/>
  <c r="X12" i="374" s="1"/>
  <c r="V12" i="369" a="1"/>
  <c r="V12" i="369" s="1"/>
  <c r="AH24" i="371" a="1"/>
  <c r="AH24" i="371" s="1"/>
  <c r="AD24" i="371" a="1"/>
  <c r="AD24" i="371" s="1"/>
  <c r="Z24" i="371" a="1"/>
  <c r="Z24" i="371" s="1"/>
  <c r="V24" i="371" a="1"/>
  <c r="V24" i="371" s="1"/>
  <c r="R24" i="371" a="1"/>
  <c r="R24" i="371" s="1"/>
  <c r="N24" i="371" a="1"/>
  <c r="N24" i="371" s="1"/>
  <c r="J24" i="371" a="1"/>
  <c r="J24" i="371" s="1"/>
  <c r="F24" i="371" a="1"/>
  <c r="F24" i="371" s="1"/>
  <c r="AE12" i="371" a="1"/>
  <c r="AE12" i="371" s="1"/>
  <c r="AA12" i="371" a="1"/>
  <c r="AA12" i="371" s="1"/>
  <c r="W12" i="371" a="1"/>
  <c r="W12" i="371" s="1"/>
  <c r="AF12" i="371" a="1"/>
  <c r="AF12" i="371" s="1"/>
  <c r="AG24" i="371" a="1"/>
  <c r="AG24" i="371" s="1"/>
  <c r="AC24" i="371" a="1"/>
  <c r="AC24" i="371" s="1"/>
  <c r="Y24" i="371" a="1"/>
  <c r="Y24" i="371" s="1"/>
  <c r="U24" i="371" a="1"/>
  <c r="U24" i="371" s="1"/>
  <c r="Q24" i="371" a="1"/>
  <c r="Q24" i="371" s="1"/>
  <c r="M24" i="371" a="1"/>
  <c r="M24" i="371" s="1"/>
  <c r="I24" i="371" a="1"/>
  <c r="I24" i="371" s="1"/>
  <c r="E24" i="371" a="1"/>
  <c r="E24" i="371" s="1"/>
  <c r="AH12" i="371" a="1"/>
  <c r="AH12" i="371" s="1"/>
  <c r="AD12" i="371" a="1"/>
  <c r="AD12" i="371" s="1"/>
  <c r="Z12" i="371" a="1"/>
  <c r="Z12" i="371" s="1"/>
  <c r="X4" i="371" a="1"/>
  <c r="X4" i="371" s="1"/>
  <c r="AB12" i="371" a="1"/>
  <c r="AB12" i="371" s="1"/>
  <c r="AF24" i="371" a="1"/>
  <c r="AF24" i="371" s="1"/>
  <c r="AB24" i="371" a="1"/>
  <c r="AB24" i="371" s="1"/>
  <c r="X24" i="371" a="1"/>
  <c r="X24" i="371" s="1"/>
  <c r="T24" i="371" a="1"/>
  <c r="T24" i="371" s="1"/>
  <c r="P24" i="371" a="1"/>
  <c r="P24" i="371" s="1"/>
  <c r="L24" i="371" a="1"/>
  <c r="L24" i="371" s="1"/>
  <c r="H24" i="371" a="1"/>
  <c r="H24" i="371" s="1"/>
  <c r="D24" i="371" a="1"/>
  <c r="D24" i="371" s="1"/>
  <c r="AG12" i="371" a="1"/>
  <c r="AG12" i="371" s="1"/>
  <c r="AC12" i="371" a="1"/>
  <c r="AC12" i="371" s="1"/>
  <c r="Y12" i="371" a="1"/>
  <c r="Y12" i="371" s="1"/>
  <c r="X12" i="371" a="1"/>
  <c r="X12" i="371" s="1"/>
  <c r="W26" i="371" a="1"/>
  <c r="W26" i="371" s="1"/>
  <c r="M4" i="371" a="1"/>
  <c r="M4" i="371" s="1"/>
  <c r="H32" i="371" s="1"/>
  <c r="AE24" i="371" a="1"/>
  <c r="AE24" i="371" s="1"/>
  <c r="AA24" i="371" a="1"/>
  <c r="AA24" i="371" s="1"/>
  <c r="W24" i="371" a="1"/>
  <c r="W24" i="371" s="1"/>
  <c r="S24" i="371" a="1"/>
  <c r="S24" i="371" s="1"/>
  <c r="O24" i="371" a="1"/>
  <c r="O24" i="371" s="1"/>
  <c r="K24" i="371" a="1"/>
  <c r="K24" i="371" s="1"/>
  <c r="G24" i="371" a="1"/>
  <c r="G24" i="371" s="1"/>
  <c r="AH24" i="370" a="1"/>
  <c r="AH24" i="370" s="1"/>
  <c r="AD24" i="370" a="1"/>
  <c r="AD24" i="370" s="1"/>
  <c r="Z24" i="370" a="1"/>
  <c r="Z24" i="370" s="1"/>
  <c r="V24" i="370" a="1"/>
  <c r="V24" i="370" s="1"/>
  <c r="R24" i="370" a="1"/>
  <c r="R24" i="370" s="1"/>
  <c r="N24" i="370" a="1"/>
  <c r="N24" i="370" s="1"/>
  <c r="J24" i="370" a="1"/>
  <c r="J24" i="370" s="1"/>
  <c r="F24" i="370" a="1"/>
  <c r="F24" i="370" s="1"/>
  <c r="AE12" i="370" a="1"/>
  <c r="AE12" i="370" s="1"/>
  <c r="AA12" i="370" a="1"/>
  <c r="AA12" i="370" s="1"/>
  <c r="W12" i="370" a="1"/>
  <c r="W12" i="370" s="1"/>
  <c r="AA24" i="370" a="1"/>
  <c r="AA24" i="370" s="1"/>
  <c r="W24" i="370" a="1"/>
  <c r="W24" i="370" s="1"/>
  <c r="O24" i="370" a="1"/>
  <c r="O24" i="370" s="1"/>
  <c r="K24" i="370" a="1"/>
  <c r="K24" i="370" s="1"/>
  <c r="G24" i="370" a="1"/>
  <c r="G24" i="370" s="1"/>
  <c r="AG24" i="370" a="1"/>
  <c r="AG24" i="370" s="1"/>
  <c r="AC24" i="370" a="1"/>
  <c r="AC24" i="370" s="1"/>
  <c r="Y24" i="370" a="1"/>
  <c r="Y24" i="370" s="1"/>
  <c r="U24" i="370" a="1"/>
  <c r="U24" i="370" s="1"/>
  <c r="Q24" i="370" a="1"/>
  <c r="Q24" i="370" s="1"/>
  <c r="M24" i="370" a="1"/>
  <c r="M24" i="370" s="1"/>
  <c r="I24" i="370" a="1"/>
  <c r="I24" i="370" s="1"/>
  <c r="E24" i="370" a="1"/>
  <c r="E24" i="370" s="1"/>
  <c r="AH12" i="370" a="1"/>
  <c r="AH12" i="370" s="1"/>
  <c r="AD12" i="370" a="1"/>
  <c r="AD12" i="370" s="1"/>
  <c r="Z12" i="370" a="1"/>
  <c r="Z12" i="370" s="1"/>
  <c r="X4" i="370" a="1"/>
  <c r="X4" i="370" s="1"/>
  <c r="S24" i="370" a="1"/>
  <c r="S24" i="370" s="1"/>
  <c r="AB12" i="370" a="1"/>
  <c r="AB12" i="370" s="1"/>
  <c r="AF24" i="370" a="1"/>
  <c r="AF24" i="370" s="1"/>
  <c r="AB24" i="370" a="1"/>
  <c r="AB24" i="370" s="1"/>
  <c r="X24" i="370" a="1"/>
  <c r="X24" i="370" s="1"/>
  <c r="T24" i="370" a="1"/>
  <c r="T24" i="370" s="1"/>
  <c r="P24" i="370" a="1"/>
  <c r="P24" i="370" s="1"/>
  <c r="L24" i="370" a="1"/>
  <c r="L24" i="370" s="1"/>
  <c r="H24" i="370" a="1"/>
  <c r="H24" i="370" s="1"/>
  <c r="D24" i="370" a="1"/>
  <c r="D24" i="370" s="1"/>
  <c r="AG12" i="370" a="1"/>
  <c r="AG12" i="370" s="1"/>
  <c r="AC12" i="370" a="1"/>
  <c r="AC12" i="370" s="1"/>
  <c r="Y12" i="370" a="1"/>
  <c r="Y12" i="370" s="1"/>
  <c r="AE24" i="370" a="1"/>
  <c r="AE24" i="370" s="1"/>
  <c r="AF12" i="370" a="1"/>
  <c r="AF12" i="370" s="1"/>
  <c r="X12" i="370" a="1"/>
  <c r="X12" i="370" s="1"/>
  <c r="W26" i="370" a="1"/>
  <c r="W26" i="370" s="1"/>
  <c r="M4" i="370" a="1"/>
  <c r="M4" i="370" s="1"/>
  <c r="H32" i="370" s="1"/>
  <c r="Z24" i="369" a="1"/>
  <c r="Z24" i="369" s="1"/>
  <c r="O24" i="369" a="1"/>
  <c r="O24" i="369" s="1"/>
  <c r="D24" i="369" a="1"/>
  <c r="D24" i="369" s="1"/>
  <c r="Y12" i="369" a="1"/>
  <c r="Y12" i="369" s="1"/>
  <c r="AG24" i="369" a="1"/>
  <c r="AG24" i="369" s="1"/>
  <c r="U24" i="369" a="1"/>
  <c r="U24" i="369" s="1"/>
  <c r="J24" i="369" a="1"/>
  <c r="J24" i="369" s="1"/>
  <c r="AE12" i="369" a="1"/>
  <c r="AE12" i="369" s="1"/>
  <c r="R24" i="369" a="1"/>
  <c r="R24" i="369" s="1"/>
  <c r="AB12" i="369" a="1"/>
  <c r="AB12" i="369" s="1"/>
  <c r="AA24" i="369" a="1"/>
  <c r="AA24" i="369" s="1"/>
  <c r="P24" i="369" a="1"/>
  <c r="P24" i="369" s="1"/>
  <c r="E24" i="369" a="1"/>
  <c r="E24" i="369" s="1"/>
  <c r="Z12" i="369" a="1"/>
  <c r="Z12" i="369" s="1"/>
  <c r="W24" i="369" a="1"/>
  <c r="W24" i="369" s="1"/>
  <c r="M4" i="369" a="1"/>
  <c r="M4" i="369" s="1"/>
  <c r="H32" i="369" s="1"/>
  <c r="K24" i="369" a="1"/>
  <c r="K24" i="369" s="1"/>
  <c r="T24" i="369" a="1"/>
  <c r="T24" i="369" s="1"/>
  <c r="AD24" i="369" a="1"/>
  <c r="AD24" i="369" s="1"/>
  <c r="S24" i="369" a="1"/>
  <c r="S24" i="369" s="1"/>
  <c r="H24" i="369" a="1"/>
  <c r="H24" i="369" s="1"/>
  <c r="AC12" i="369" a="1"/>
  <c r="AC12" i="369" s="1"/>
  <c r="Y24" i="369" a="1"/>
  <c r="Y24" i="369" s="1"/>
  <c r="N24" i="369" a="1"/>
  <c r="N24" i="369" s="1"/>
  <c r="X12" i="369" a="1"/>
  <c r="X12" i="369" s="1"/>
  <c r="W26" i="369" a="1"/>
  <c r="W26" i="369" s="1"/>
  <c r="X24" i="369" a="1"/>
  <c r="X24" i="369" s="1"/>
  <c r="M24" i="369" a="1"/>
  <c r="M24" i="369" s="1"/>
  <c r="AH12" i="369" a="1"/>
  <c r="AH12" i="369" s="1"/>
  <c r="W12" i="369" a="1"/>
  <c r="W12" i="369" s="1"/>
  <c r="X4" i="369" a="1"/>
  <c r="X4" i="369" s="1"/>
  <c r="AH24" i="369" a="1"/>
  <c r="AH24" i="369" s="1"/>
  <c r="L24" i="369" a="1"/>
  <c r="L24" i="369" s="1"/>
  <c r="AG12" i="369" a="1"/>
  <c r="AG12" i="369" s="1"/>
  <c r="V24" i="369" a="1"/>
  <c r="V24" i="369" s="1"/>
  <c r="AF12" i="369" a="1"/>
  <c r="AF12" i="369" s="1"/>
  <c r="AF24" i="369" a="1"/>
  <c r="AF24" i="369" s="1"/>
  <c r="AE24" i="369" a="1"/>
  <c r="AE24" i="369" s="1"/>
  <c r="I24" i="369" a="1"/>
  <c r="I24" i="369" s="1"/>
  <c r="AD12" i="369" a="1"/>
  <c r="AD12" i="369" s="1"/>
  <c r="AC24" i="369" a="1"/>
  <c r="AC24" i="369" s="1"/>
  <c r="F24" i="369" a="1"/>
  <c r="F24" i="369" s="1"/>
  <c r="G24" i="369" a="1"/>
  <c r="G24" i="369" s="1"/>
  <c r="Q24" i="369" a="1"/>
  <c r="Q24" i="369" s="1"/>
  <c r="AB24" i="369" a="1"/>
  <c r="AB24" i="369" s="1"/>
  <c r="AH24" i="368" a="1"/>
  <c r="AH24" i="368" s="1"/>
  <c r="AD24" i="368" a="1"/>
  <c r="AD24" i="368" s="1"/>
  <c r="Z24" i="368" a="1"/>
  <c r="Z24" i="368" s="1"/>
  <c r="V24" i="368" a="1"/>
  <c r="V24" i="368" s="1"/>
  <c r="R24" i="368" a="1"/>
  <c r="R24" i="368" s="1"/>
  <c r="N24" i="368" a="1"/>
  <c r="N24" i="368" s="1"/>
  <c r="J24" i="368" a="1"/>
  <c r="J24" i="368" s="1"/>
  <c r="F24" i="368" a="1"/>
  <c r="F24" i="368" s="1"/>
  <c r="AE12" i="368" a="1"/>
  <c r="AE12" i="368" s="1"/>
  <c r="AA12" i="368" a="1"/>
  <c r="AA12" i="368" s="1"/>
  <c r="W12" i="368" a="1"/>
  <c r="W12" i="368" s="1"/>
  <c r="AG24" i="368" a="1"/>
  <c r="AG24" i="368" s="1"/>
  <c r="AC24" i="368" a="1"/>
  <c r="AC24" i="368" s="1"/>
  <c r="Y24" i="368" a="1"/>
  <c r="Y24" i="368" s="1"/>
  <c r="U24" i="368" a="1"/>
  <c r="U24" i="368" s="1"/>
  <c r="Q24" i="368" a="1"/>
  <c r="Q24" i="368" s="1"/>
  <c r="M24" i="368" a="1"/>
  <c r="M24" i="368" s="1"/>
  <c r="I24" i="368" a="1"/>
  <c r="I24" i="368" s="1"/>
  <c r="E24" i="368" a="1"/>
  <c r="E24" i="368" s="1"/>
  <c r="AH12" i="368" a="1"/>
  <c r="AH12" i="368" s="1"/>
  <c r="AD12" i="368" a="1"/>
  <c r="AD12" i="368" s="1"/>
  <c r="Z12" i="368" a="1"/>
  <c r="Z12" i="368" s="1"/>
  <c r="AE24" i="368" a="1"/>
  <c r="AE24" i="368" s="1"/>
  <c r="G24" i="368" a="1"/>
  <c r="G24" i="368" s="1"/>
  <c r="X4" i="368" a="1"/>
  <c r="X4" i="368" s="1"/>
  <c r="AF24" i="368" a="1"/>
  <c r="AF24" i="368" s="1"/>
  <c r="AB24" i="368" a="1"/>
  <c r="AB24" i="368" s="1"/>
  <c r="X24" i="368" a="1"/>
  <c r="X24" i="368" s="1"/>
  <c r="T24" i="368" a="1"/>
  <c r="T24" i="368" s="1"/>
  <c r="P24" i="368" a="1"/>
  <c r="P24" i="368" s="1"/>
  <c r="L24" i="368" a="1"/>
  <c r="L24" i="368" s="1"/>
  <c r="H24" i="368" a="1"/>
  <c r="H24" i="368" s="1"/>
  <c r="D24" i="368" a="1"/>
  <c r="D24" i="368" s="1"/>
  <c r="AG12" i="368" a="1"/>
  <c r="AG12" i="368" s="1"/>
  <c r="AC12" i="368" a="1"/>
  <c r="AC12" i="368" s="1"/>
  <c r="Y12" i="368" a="1"/>
  <c r="Y12" i="368" s="1"/>
  <c r="W26" i="368" a="1"/>
  <c r="W26" i="368" s="1"/>
  <c r="M4" i="368" a="1"/>
  <c r="M4" i="368" s="1"/>
  <c r="H32" i="368" s="1"/>
  <c r="AA24" i="368" a="1"/>
  <c r="AA24" i="368" s="1"/>
  <c r="W24" i="368" a="1"/>
  <c r="W24" i="368" s="1"/>
  <c r="S24" i="368" a="1"/>
  <c r="S24" i="368" s="1"/>
  <c r="O24" i="368" a="1"/>
  <c r="O24" i="368" s="1"/>
  <c r="K24" i="368" a="1"/>
  <c r="K24" i="368" s="1"/>
  <c r="AF12" i="368" a="1"/>
  <c r="AF12" i="368" s="1"/>
  <c r="AB12" i="368" a="1"/>
  <c r="AB12" i="368" s="1"/>
  <c r="X12" i="368" a="1"/>
  <c r="X12" i="368" s="1"/>
  <c r="AH24" i="367" a="1"/>
  <c r="AH24" i="367" s="1"/>
  <c r="AD24" i="367" a="1"/>
  <c r="AD24" i="367" s="1"/>
  <c r="Z24" i="367" a="1"/>
  <c r="Z24" i="367" s="1"/>
  <c r="V24" i="367" a="1"/>
  <c r="V24" i="367" s="1"/>
  <c r="R24" i="367" a="1"/>
  <c r="R24" i="367" s="1"/>
  <c r="N24" i="367" a="1"/>
  <c r="N24" i="367" s="1"/>
  <c r="J24" i="367" a="1"/>
  <c r="J24" i="367" s="1"/>
  <c r="F24" i="367" a="1"/>
  <c r="F24" i="367" s="1"/>
  <c r="AE12" i="367" a="1"/>
  <c r="AE12" i="367" s="1"/>
  <c r="AA12" i="367" a="1"/>
  <c r="AA12" i="367" s="1"/>
  <c r="W12" i="367" a="1"/>
  <c r="W12" i="367" s="1"/>
  <c r="AG24" i="367" a="1"/>
  <c r="AG24" i="367" s="1"/>
  <c r="AC24" i="367" a="1"/>
  <c r="AC24" i="367" s="1"/>
  <c r="Y24" i="367" a="1"/>
  <c r="Y24" i="367" s="1"/>
  <c r="U24" i="367" a="1"/>
  <c r="U24" i="367" s="1"/>
  <c r="Q24" i="367" a="1"/>
  <c r="Q24" i="367" s="1"/>
  <c r="M24" i="367" a="1"/>
  <c r="M24" i="367" s="1"/>
  <c r="I24" i="367" a="1"/>
  <c r="I24" i="367" s="1"/>
  <c r="E24" i="367" a="1"/>
  <c r="E24" i="367" s="1"/>
  <c r="AH12" i="367" a="1"/>
  <c r="AH12" i="367" s="1"/>
  <c r="AD12" i="367" a="1"/>
  <c r="AD12" i="367" s="1"/>
  <c r="Z12" i="367" a="1"/>
  <c r="Z12" i="367" s="1"/>
  <c r="X4" i="367" a="1"/>
  <c r="X4" i="367" s="1"/>
  <c r="AF24" i="367" a="1"/>
  <c r="AF24" i="367" s="1"/>
  <c r="AB24" i="367" a="1"/>
  <c r="AB24" i="367" s="1"/>
  <c r="X24" i="367" a="1"/>
  <c r="X24" i="367" s="1"/>
  <c r="T24" i="367" a="1"/>
  <c r="T24" i="367" s="1"/>
  <c r="P24" i="367" a="1"/>
  <c r="P24" i="367" s="1"/>
  <c r="L24" i="367" a="1"/>
  <c r="L24" i="367" s="1"/>
  <c r="H24" i="367" a="1"/>
  <c r="H24" i="367" s="1"/>
  <c r="D24" i="367" a="1"/>
  <c r="D24" i="367" s="1"/>
  <c r="AG12" i="367" a="1"/>
  <c r="AG12" i="367" s="1"/>
  <c r="AC12" i="367" a="1"/>
  <c r="AC12" i="367" s="1"/>
  <c r="Y12" i="367" a="1"/>
  <c r="Y12" i="367" s="1"/>
  <c r="AF12" i="367" a="1"/>
  <c r="AF12" i="367" s="1"/>
  <c r="W26" i="367" a="1"/>
  <c r="W26" i="367" s="1"/>
  <c r="M4" i="367" a="1"/>
  <c r="M4" i="367" s="1"/>
  <c r="H32" i="367" s="1"/>
  <c r="AE24" i="367" a="1"/>
  <c r="AE24" i="367" s="1"/>
  <c r="AA24" i="367" a="1"/>
  <c r="AA24" i="367" s="1"/>
  <c r="W24" i="367" a="1"/>
  <c r="W24" i="367" s="1"/>
  <c r="S24" i="367" a="1"/>
  <c r="S24" i="367" s="1"/>
  <c r="O24" i="367" a="1"/>
  <c r="O24" i="367" s="1"/>
  <c r="K24" i="367" a="1"/>
  <c r="K24" i="367" s="1"/>
  <c r="G24" i="367" a="1"/>
  <c r="G24" i="367" s="1"/>
  <c r="AB12" i="367" a="1"/>
  <c r="AB12" i="367" s="1"/>
  <c r="X12" i="367" a="1"/>
  <c r="X12" i="367" s="1"/>
  <c r="M4" i="364" a="1"/>
  <c r="M4" i="364" s="1"/>
  <c r="H32" i="364" s="1"/>
  <c r="G24" i="364" a="1"/>
  <c r="G24" i="364" s="1"/>
  <c r="AF12" i="364" a="1"/>
  <c r="AF12" i="364" s="1"/>
  <c r="AH24" i="364" a="1"/>
  <c r="AH24" i="364" s="1"/>
  <c r="AD24" i="364" a="1"/>
  <c r="AD24" i="364" s="1"/>
  <c r="Z24" i="364" a="1"/>
  <c r="Z24" i="364" s="1"/>
  <c r="V24" i="364" a="1"/>
  <c r="V24" i="364" s="1"/>
  <c r="R24" i="364" a="1"/>
  <c r="R24" i="364" s="1"/>
  <c r="N24" i="364" a="1"/>
  <c r="N24" i="364" s="1"/>
  <c r="J24" i="364" a="1"/>
  <c r="J24" i="364" s="1"/>
  <c r="F24" i="364" a="1"/>
  <c r="F24" i="364" s="1"/>
  <c r="AE12" i="364" a="1"/>
  <c r="AE12" i="364" s="1"/>
  <c r="AA12" i="364" a="1"/>
  <c r="AA12" i="364" s="1"/>
  <c r="W12" i="364" a="1"/>
  <c r="W12" i="364" s="1"/>
  <c r="X4" i="364" a="1"/>
  <c r="X4" i="364" s="1"/>
  <c r="W24" i="364" a="1"/>
  <c r="W24" i="364" s="1"/>
  <c r="X12" i="364" a="1"/>
  <c r="X12" i="364" s="1"/>
  <c r="AG24" i="364" a="1"/>
  <c r="AG24" i="364" s="1"/>
  <c r="AC24" i="364" a="1"/>
  <c r="AC24" i="364" s="1"/>
  <c r="Y24" i="364" a="1"/>
  <c r="Y24" i="364" s="1"/>
  <c r="U24" i="364" a="1"/>
  <c r="U24" i="364" s="1"/>
  <c r="Q24" i="364" a="1"/>
  <c r="Q24" i="364" s="1"/>
  <c r="M24" i="364" a="1"/>
  <c r="M24" i="364" s="1"/>
  <c r="I24" i="364" a="1"/>
  <c r="I24" i="364" s="1"/>
  <c r="E24" i="364" a="1"/>
  <c r="E24" i="364" s="1"/>
  <c r="AH12" i="364" a="1"/>
  <c r="AH12" i="364" s="1"/>
  <c r="AD12" i="364" a="1"/>
  <c r="AD12" i="364" s="1"/>
  <c r="Z12" i="364" a="1"/>
  <c r="Z12" i="364" s="1"/>
  <c r="AE24" i="364" a="1"/>
  <c r="AE24" i="364" s="1"/>
  <c r="S24" i="364" a="1"/>
  <c r="S24" i="364" s="1"/>
  <c r="O24" i="364" a="1"/>
  <c r="O24" i="364" s="1"/>
  <c r="AF24" i="364" a="1"/>
  <c r="AF24" i="364" s="1"/>
  <c r="AB24" i="364" a="1"/>
  <c r="AB24" i="364" s="1"/>
  <c r="X24" i="364" a="1"/>
  <c r="X24" i="364" s="1"/>
  <c r="T24" i="364" a="1"/>
  <c r="T24" i="364" s="1"/>
  <c r="P24" i="364" a="1"/>
  <c r="P24" i="364" s="1"/>
  <c r="L24" i="364" a="1"/>
  <c r="L24" i="364" s="1"/>
  <c r="H24" i="364" a="1"/>
  <c r="H24" i="364" s="1"/>
  <c r="D24" i="364" a="1"/>
  <c r="D24" i="364" s="1"/>
  <c r="AG12" i="364" a="1"/>
  <c r="AG12" i="364" s="1"/>
  <c r="AC12" i="364" a="1"/>
  <c r="AC12" i="364" s="1"/>
  <c r="Y12" i="364" a="1"/>
  <c r="Y12" i="364" s="1"/>
  <c r="W26" i="364" a="1"/>
  <c r="W26" i="364" s="1"/>
  <c r="AA24" i="364" a="1"/>
  <c r="AA24" i="364" s="1"/>
  <c r="K24" i="364" a="1"/>
  <c r="K24" i="364" s="1"/>
  <c r="AB12" i="364" a="1"/>
  <c r="AB12" i="364" s="1"/>
  <c r="M4" i="363" a="1"/>
  <c r="M4" i="363" s="1"/>
  <c r="H32" i="363" s="1"/>
  <c r="AF24" i="363" a="1"/>
  <c r="AF24" i="363" s="1"/>
  <c r="AG12" i="363" a="1"/>
  <c r="AG12" i="363" s="1"/>
  <c r="AH24" i="363" a="1"/>
  <c r="AH24" i="363" s="1"/>
  <c r="AD24" i="363" a="1"/>
  <c r="AD24" i="363" s="1"/>
  <c r="Z24" i="363" a="1"/>
  <c r="Z24" i="363" s="1"/>
  <c r="V24" i="363" a="1"/>
  <c r="V24" i="363" s="1"/>
  <c r="R24" i="363" a="1"/>
  <c r="R24" i="363" s="1"/>
  <c r="N24" i="363" a="1"/>
  <c r="N24" i="363" s="1"/>
  <c r="J24" i="363" a="1"/>
  <c r="J24" i="363" s="1"/>
  <c r="F24" i="363" a="1"/>
  <c r="F24" i="363" s="1"/>
  <c r="AE12" i="363" a="1"/>
  <c r="AE12" i="363" s="1"/>
  <c r="AA12" i="363" a="1"/>
  <c r="AA12" i="363" s="1"/>
  <c r="W12" i="363" a="1"/>
  <c r="W12" i="363" s="1"/>
  <c r="AB24" i="363" a="1"/>
  <c r="AB24" i="363" s="1"/>
  <c r="P24" i="363" a="1"/>
  <c r="P24" i="363" s="1"/>
  <c r="H24" i="363" a="1"/>
  <c r="H24" i="363" s="1"/>
  <c r="AC12" i="363" a="1"/>
  <c r="AC12" i="363" s="1"/>
  <c r="Y12" i="363" a="1"/>
  <c r="Y12" i="363" s="1"/>
  <c r="AG24" i="363" a="1"/>
  <c r="AG24" i="363" s="1"/>
  <c r="AC24" i="363" a="1"/>
  <c r="AC24" i="363" s="1"/>
  <c r="Y24" i="363" a="1"/>
  <c r="Y24" i="363" s="1"/>
  <c r="U24" i="363" a="1"/>
  <c r="U24" i="363" s="1"/>
  <c r="Q24" i="363" a="1"/>
  <c r="Q24" i="363" s="1"/>
  <c r="M24" i="363" a="1"/>
  <c r="M24" i="363" s="1"/>
  <c r="I24" i="363" a="1"/>
  <c r="I24" i="363" s="1"/>
  <c r="E24" i="363" a="1"/>
  <c r="E24" i="363" s="1"/>
  <c r="AH12" i="363" a="1"/>
  <c r="AH12" i="363" s="1"/>
  <c r="AD12" i="363" a="1"/>
  <c r="AD12" i="363" s="1"/>
  <c r="Z12" i="363" a="1"/>
  <c r="Z12" i="363" s="1"/>
  <c r="X24" i="363" a="1"/>
  <c r="X24" i="363" s="1"/>
  <c r="T24" i="363" a="1"/>
  <c r="T24" i="363" s="1"/>
  <c r="L24" i="363" a="1"/>
  <c r="L24" i="363" s="1"/>
  <c r="D24" i="363" a="1"/>
  <c r="D24" i="363" s="1"/>
  <c r="W26" i="363" a="1"/>
  <c r="W26" i="363" s="1"/>
  <c r="X4" i="363" a="1"/>
  <c r="X4" i="363" s="1"/>
  <c r="AE24" i="363" a="1"/>
  <c r="AE24" i="363" s="1"/>
  <c r="AA24" i="363" a="1"/>
  <c r="AA24" i="363" s="1"/>
  <c r="W24" i="363" a="1"/>
  <c r="W24" i="363" s="1"/>
  <c r="S24" i="363" a="1"/>
  <c r="S24" i="363" s="1"/>
  <c r="O24" i="363" a="1"/>
  <c r="O24" i="363" s="1"/>
  <c r="K24" i="363" a="1"/>
  <c r="K24" i="363" s="1"/>
  <c r="G24" i="363" a="1"/>
  <c r="G24" i="363" s="1"/>
  <c r="AF12" i="363" a="1"/>
  <c r="AF12" i="363" s="1"/>
  <c r="AB12" i="363" a="1"/>
  <c r="AB12" i="363" s="1"/>
  <c r="X12" i="363" a="1"/>
  <c r="X12" i="363" s="1"/>
  <c r="M4" i="362" a="1"/>
  <c r="M4" i="362" s="1"/>
  <c r="H32" i="362" s="1"/>
  <c r="AH24" i="362" a="1"/>
  <c r="AH24" i="362" s="1"/>
  <c r="AD24" i="362" a="1"/>
  <c r="AD24" i="362" s="1"/>
  <c r="Z24" i="362" a="1"/>
  <c r="Z24" i="362" s="1"/>
  <c r="V24" i="362" a="1"/>
  <c r="V24" i="362" s="1"/>
  <c r="R24" i="362" a="1"/>
  <c r="R24" i="362" s="1"/>
  <c r="N24" i="362" a="1"/>
  <c r="N24" i="362" s="1"/>
  <c r="J24" i="362" a="1"/>
  <c r="J24" i="362" s="1"/>
  <c r="F24" i="362" a="1"/>
  <c r="F24" i="362" s="1"/>
  <c r="AE12" i="362" a="1"/>
  <c r="AE12" i="362" s="1"/>
  <c r="AA12" i="362" a="1"/>
  <c r="AA12" i="362" s="1"/>
  <c r="W12" i="362" a="1"/>
  <c r="W12" i="362" s="1"/>
  <c r="AH12" i="362" a="1"/>
  <c r="AH12" i="362" s="1"/>
  <c r="AD12" i="362" a="1"/>
  <c r="AD12" i="362" s="1"/>
  <c r="Z12" i="362" a="1"/>
  <c r="Z12" i="362" s="1"/>
  <c r="AG24" i="362" a="1"/>
  <c r="AG24" i="362" s="1"/>
  <c r="AC24" i="362" a="1"/>
  <c r="AC24" i="362" s="1"/>
  <c r="Y24" i="362" a="1"/>
  <c r="Y24" i="362" s="1"/>
  <c r="U24" i="362" a="1"/>
  <c r="U24" i="362" s="1"/>
  <c r="Q24" i="362" a="1"/>
  <c r="Q24" i="362" s="1"/>
  <c r="M24" i="362" a="1"/>
  <c r="M24" i="362" s="1"/>
  <c r="I24" i="362" a="1"/>
  <c r="I24" i="362" s="1"/>
  <c r="E24" i="362" a="1"/>
  <c r="E24" i="362" s="1"/>
  <c r="AF24" i="362" a="1"/>
  <c r="AF24" i="362" s="1"/>
  <c r="AB24" i="362" a="1"/>
  <c r="AB24" i="362" s="1"/>
  <c r="X24" i="362" a="1"/>
  <c r="X24" i="362" s="1"/>
  <c r="T24" i="362" a="1"/>
  <c r="T24" i="362" s="1"/>
  <c r="P24" i="362" a="1"/>
  <c r="P24" i="362" s="1"/>
  <c r="L24" i="362" a="1"/>
  <c r="L24" i="362" s="1"/>
  <c r="H24" i="362" a="1"/>
  <c r="H24" i="362" s="1"/>
  <c r="D24" i="362" a="1"/>
  <c r="D24" i="362" s="1"/>
  <c r="AG12" i="362" a="1"/>
  <c r="AG12" i="362" s="1"/>
  <c r="AC12" i="362" a="1"/>
  <c r="AC12" i="362" s="1"/>
  <c r="Y12" i="362" a="1"/>
  <c r="Y12" i="362" s="1"/>
  <c r="S24" i="362" a="1"/>
  <c r="S24" i="362" s="1"/>
  <c r="G24" i="362" a="1"/>
  <c r="G24" i="362" s="1"/>
  <c r="AF12" i="362" a="1"/>
  <c r="AF12" i="362" s="1"/>
  <c r="AB12" i="362" a="1"/>
  <c r="AB12" i="362" s="1"/>
  <c r="X12" i="362" a="1"/>
  <c r="X12" i="362" s="1"/>
  <c r="W26" i="362" a="1"/>
  <c r="W26" i="362" s="1"/>
  <c r="X4" i="362" a="1"/>
  <c r="X4" i="362" s="1"/>
  <c r="AE24" i="362" a="1"/>
  <c r="AE24" i="362" s="1"/>
  <c r="AA24" i="362" a="1"/>
  <c r="AA24" i="362" s="1"/>
  <c r="W24" i="362" a="1"/>
  <c r="W24" i="362" s="1"/>
  <c r="O24" i="362" a="1"/>
  <c r="O24" i="362" s="1"/>
  <c r="K24" i="362" a="1"/>
  <c r="K24" i="362" s="1"/>
  <c r="K24" i="361" a="1"/>
  <c r="K24" i="361" s="1"/>
  <c r="AH24" i="361" a="1"/>
  <c r="AH24" i="361" s="1"/>
  <c r="AD24" i="361" a="1"/>
  <c r="AD24" i="361" s="1"/>
  <c r="Z24" i="361" a="1"/>
  <c r="Z24" i="361" s="1"/>
  <c r="V24" i="361" a="1"/>
  <c r="V24" i="361" s="1"/>
  <c r="R24" i="361" a="1"/>
  <c r="R24" i="361" s="1"/>
  <c r="N24" i="361" a="1"/>
  <c r="N24" i="361" s="1"/>
  <c r="J24" i="361" a="1"/>
  <c r="J24" i="361" s="1"/>
  <c r="F24" i="361" a="1"/>
  <c r="F24" i="361" s="1"/>
  <c r="AE12" i="361" a="1"/>
  <c r="AE12" i="361" s="1"/>
  <c r="AA12" i="361" a="1"/>
  <c r="AA12" i="361" s="1"/>
  <c r="W12" i="361" a="1"/>
  <c r="W12" i="361" s="1"/>
  <c r="AE24" i="361" a="1"/>
  <c r="AE24" i="361" s="1"/>
  <c r="AB12" i="361" a="1"/>
  <c r="AB12" i="361" s="1"/>
  <c r="AG24" i="361" a="1"/>
  <c r="AG24" i="361" s="1"/>
  <c r="AC24" i="361" a="1"/>
  <c r="AC24" i="361" s="1"/>
  <c r="Y24" i="361" a="1"/>
  <c r="Y24" i="361" s="1"/>
  <c r="U24" i="361" a="1"/>
  <c r="U24" i="361" s="1"/>
  <c r="Q24" i="361" a="1"/>
  <c r="Q24" i="361" s="1"/>
  <c r="M24" i="361" a="1"/>
  <c r="M24" i="361" s="1"/>
  <c r="I24" i="361" a="1"/>
  <c r="I24" i="361" s="1"/>
  <c r="E24" i="361" a="1"/>
  <c r="E24" i="361" s="1"/>
  <c r="AH12" i="361" a="1"/>
  <c r="AH12" i="361" s="1"/>
  <c r="AD12" i="361" a="1"/>
  <c r="AD12" i="361" s="1"/>
  <c r="Z12" i="361" a="1"/>
  <c r="Z12" i="361" s="1"/>
  <c r="O24" i="361" a="1"/>
  <c r="O24" i="361" s="1"/>
  <c r="AF12" i="361" a="1"/>
  <c r="AF12" i="361" s="1"/>
  <c r="X12" i="361" a="1"/>
  <c r="X12" i="361" s="1"/>
  <c r="X4" i="361" a="1"/>
  <c r="X4" i="361" s="1"/>
  <c r="AF24" i="361" a="1"/>
  <c r="AF24" i="361" s="1"/>
  <c r="AB24" i="361" a="1"/>
  <c r="AB24" i="361" s="1"/>
  <c r="X24" i="361" a="1"/>
  <c r="X24" i="361" s="1"/>
  <c r="T24" i="361" a="1"/>
  <c r="T24" i="361" s="1"/>
  <c r="P24" i="361" a="1"/>
  <c r="P24" i="361" s="1"/>
  <c r="L24" i="361" a="1"/>
  <c r="L24" i="361" s="1"/>
  <c r="H24" i="361" a="1"/>
  <c r="H24" i="361" s="1"/>
  <c r="D24" i="361" a="1"/>
  <c r="D24" i="361" s="1"/>
  <c r="AG12" i="361" a="1"/>
  <c r="AG12" i="361" s="1"/>
  <c r="AC12" i="361" a="1"/>
  <c r="AC12" i="361" s="1"/>
  <c r="Y12" i="361" a="1"/>
  <c r="Y12" i="361" s="1"/>
  <c r="W26" i="361" a="1"/>
  <c r="W26" i="361" s="1"/>
  <c r="M4" i="361" a="1"/>
  <c r="M4" i="361" s="1"/>
  <c r="H32" i="361" s="1"/>
  <c r="AA24" i="361" a="1"/>
  <c r="AA24" i="361" s="1"/>
  <c r="W24" i="361" a="1"/>
  <c r="W24" i="361" s="1"/>
  <c r="S24" i="361" a="1"/>
  <c r="S24" i="361" s="1"/>
  <c r="G24" i="361" a="1"/>
  <c r="G24" i="361" s="1"/>
  <c r="M4" i="360" a="1"/>
  <c r="M4" i="360" s="1"/>
  <c r="H32" i="360" s="1"/>
  <c r="AH24" i="360" a="1"/>
  <c r="AH24" i="360" s="1"/>
  <c r="AD24" i="360" a="1"/>
  <c r="AD24" i="360" s="1"/>
  <c r="Z24" i="360" a="1"/>
  <c r="Z24" i="360" s="1"/>
  <c r="V24" i="360" a="1"/>
  <c r="V24" i="360" s="1"/>
  <c r="R24" i="360" a="1"/>
  <c r="R24" i="360" s="1"/>
  <c r="N24" i="360" a="1"/>
  <c r="N24" i="360" s="1"/>
  <c r="J24" i="360" a="1"/>
  <c r="J24" i="360" s="1"/>
  <c r="F24" i="360" a="1"/>
  <c r="F24" i="360" s="1"/>
  <c r="AE12" i="360" a="1"/>
  <c r="AE12" i="360" s="1"/>
  <c r="AA12" i="360" a="1"/>
  <c r="AA12" i="360" s="1"/>
  <c r="W12" i="360" a="1"/>
  <c r="W12" i="360" s="1"/>
  <c r="AE24" i="360" a="1"/>
  <c r="AE24" i="360" s="1"/>
  <c r="AF12" i="360" a="1"/>
  <c r="AF12" i="360" s="1"/>
  <c r="AB12" i="360" a="1"/>
  <c r="AB12" i="360" s="1"/>
  <c r="X12" i="360" a="1"/>
  <c r="X12" i="360" s="1"/>
  <c r="AG24" i="360" a="1"/>
  <c r="AG24" i="360" s="1"/>
  <c r="AC24" i="360" a="1"/>
  <c r="AC24" i="360" s="1"/>
  <c r="Y24" i="360" a="1"/>
  <c r="Y24" i="360" s="1"/>
  <c r="U24" i="360" a="1"/>
  <c r="U24" i="360" s="1"/>
  <c r="Q24" i="360" a="1"/>
  <c r="Q24" i="360" s="1"/>
  <c r="M24" i="360" a="1"/>
  <c r="M24" i="360" s="1"/>
  <c r="I24" i="360" a="1"/>
  <c r="I24" i="360" s="1"/>
  <c r="E24" i="360" a="1"/>
  <c r="E24" i="360" s="1"/>
  <c r="AH12" i="360" a="1"/>
  <c r="AH12" i="360" s="1"/>
  <c r="AD12" i="360" a="1"/>
  <c r="AD12" i="360" s="1"/>
  <c r="Z12" i="360" a="1"/>
  <c r="Z12" i="360" s="1"/>
  <c r="AF24" i="360" a="1"/>
  <c r="AF24" i="360" s="1"/>
  <c r="AB24" i="360" a="1"/>
  <c r="AB24" i="360" s="1"/>
  <c r="X24" i="360" a="1"/>
  <c r="X24" i="360" s="1"/>
  <c r="T24" i="360" a="1"/>
  <c r="T24" i="360" s="1"/>
  <c r="P24" i="360" a="1"/>
  <c r="P24" i="360" s="1"/>
  <c r="L24" i="360" a="1"/>
  <c r="L24" i="360" s="1"/>
  <c r="H24" i="360" a="1"/>
  <c r="H24" i="360" s="1"/>
  <c r="D24" i="360" a="1"/>
  <c r="D24" i="360" s="1"/>
  <c r="AG12" i="360" a="1"/>
  <c r="AG12" i="360" s="1"/>
  <c r="AC12" i="360" a="1"/>
  <c r="AC12" i="360" s="1"/>
  <c r="Y12" i="360" a="1"/>
  <c r="Y12" i="360" s="1"/>
  <c r="W26" i="360" a="1"/>
  <c r="W26" i="360" s="1"/>
  <c r="X4" i="360" a="1"/>
  <c r="X4" i="360" s="1"/>
  <c r="AA24" i="360" a="1"/>
  <c r="AA24" i="360" s="1"/>
  <c r="W24" i="360" a="1"/>
  <c r="W24" i="360" s="1"/>
  <c r="S24" i="360" a="1"/>
  <c r="S24" i="360" s="1"/>
  <c r="O24" i="360" a="1"/>
  <c r="O24" i="360" s="1"/>
  <c r="K24" i="360" a="1"/>
  <c r="K24" i="360" s="1"/>
  <c r="G24" i="360" a="1"/>
  <c r="G24" i="360" s="1"/>
  <c r="M4" i="359" a="1"/>
  <c r="M4" i="359" s="1"/>
  <c r="H32" i="359" s="1"/>
  <c r="AH24" i="359" a="1"/>
  <c r="AH24" i="359" s="1"/>
  <c r="AD24" i="359" a="1"/>
  <c r="AD24" i="359" s="1"/>
  <c r="Z24" i="359" a="1"/>
  <c r="Z24" i="359" s="1"/>
  <c r="V24" i="359" a="1"/>
  <c r="V24" i="359" s="1"/>
  <c r="R24" i="359" a="1"/>
  <c r="R24" i="359" s="1"/>
  <c r="N24" i="359" a="1"/>
  <c r="N24" i="359" s="1"/>
  <c r="J24" i="359" a="1"/>
  <c r="J24" i="359" s="1"/>
  <c r="F24" i="359" a="1"/>
  <c r="F24" i="359" s="1"/>
  <c r="AE12" i="359" a="1"/>
  <c r="AE12" i="359" s="1"/>
  <c r="AA12" i="359" a="1"/>
  <c r="AA12" i="359" s="1"/>
  <c r="W12" i="359" a="1"/>
  <c r="W12" i="359" s="1"/>
  <c r="AE24" i="359" a="1"/>
  <c r="AE24" i="359" s="1"/>
  <c r="AF12" i="359" a="1"/>
  <c r="AF12" i="359" s="1"/>
  <c r="K24" i="359" a="1"/>
  <c r="K24" i="359" s="1"/>
  <c r="AG24" i="359" a="1"/>
  <c r="AG24" i="359" s="1"/>
  <c r="AC24" i="359" a="1"/>
  <c r="AC24" i="359" s="1"/>
  <c r="Y24" i="359" a="1"/>
  <c r="Y24" i="359" s="1"/>
  <c r="U24" i="359" a="1"/>
  <c r="U24" i="359" s="1"/>
  <c r="Q24" i="359" a="1"/>
  <c r="Q24" i="359" s="1"/>
  <c r="M24" i="359" a="1"/>
  <c r="M24" i="359" s="1"/>
  <c r="I24" i="359" a="1"/>
  <c r="I24" i="359" s="1"/>
  <c r="E24" i="359" a="1"/>
  <c r="E24" i="359" s="1"/>
  <c r="AH12" i="359" a="1"/>
  <c r="AH12" i="359" s="1"/>
  <c r="AD12" i="359" a="1"/>
  <c r="AD12" i="359" s="1"/>
  <c r="Z12" i="359" a="1"/>
  <c r="Z12" i="359" s="1"/>
  <c r="G24" i="359" a="1"/>
  <c r="G24" i="359" s="1"/>
  <c r="AB12" i="359" a="1"/>
  <c r="AB12" i="359" s="1"/>
  <c r="X4" i="359" a="1"/>
  <c r="X4" i="359" s="1"/>
  <c r="AA24" i="359" a="1"/>
  <c r="AA24" i="359" s="1"/>
  <c r="O24" i="359" a="1"/>
  <c r="O24" i="359" s="1"/>
  <c r="X12" i="359" a="1"/>
  <c r="X12" i="359" s="1"/>
  <c r="AF24" i="359" a="1"/>
  <c r="AF24" i="359" s="1"/>
  <c r="AB24" i="359" a="1"/>
  <c r="AB24" i="359" s="1"/>
  <c r="X24" i="359" a="1"/>
  <c r="X24" i="359" s="1"/>
  <c r="T24" i="359" a="1"/>
  <c r="T24" i="359" s="1"/>
  <c r="P24" i="359" a="1"/>
  <c r="P24" i="359" s="1"/>
  <c r="L24" i="359" a="1"/>
  <c r="L24" i="359" s="1"/>
  <c r="H24" i="359" a="1"/>
  <c r="H24" i="359" s="1"/>
  <c r="D24" i="359" a="1"/>
  <c r="D24" i="359" s="1"/>
  <c r="AG12" i="359" a="1"/>
  <c r="AG12" i="359" s="1"/>
  <c r="AC12" i="359" a="1"/>
  <c r="AC12" i="359" s="1"/>
  <c r="Y12" i="359" a="1"/>
  <c r="Y12" i="359" s="1"/>
  <c r="W26" i="359" a="1"/>
  <c r="W26" i="359" s="1"/>
  <c r="W24" i="359" a="1"/>
  <c r="W24" i="359" s="1"/>
  <c r="S24" i="359" a="1"/>
  <c r="S24" i="359" s="1"/>
  <c r="M4" i="356" a="1"/>
  <c r="M4" i="356" s="1"/>
  <c r="H32" i="356" s="1"/>
  <c r="X4" i="356" a="1"/>
  <c r="X4" i="356" s="1"/>
  <c r="AH24" i="356" a="1"/>
  <c r="AH24" i="356" s="1"/>
  <c r="AD24" i="356" a="1"/>
  <c r="AD24" i="356" s="1"/>
  <c r="Z24" i="356" a="1"/>
  <c r="Z24" i="356" s="1"/>
  <c r="V24" i="356" a="1"/>
  <c r="V24" i="356" s="1"/>
  <c r="R24" i="356" a="1"/>
  <c r="R24" i="356" s="1"/>
  <c r="N24" i="356" a="1"/>
  <c r="N24" i="356" s="1"/>
  <c r="J24" i="356" a="1"/>
  <c r="J24" i="356" s="1"/>
  <c r="F24" i="356" a="1"/>
  <c r="F24" i="356" s="1"/>
  <c r="AE12" i="356" a="1"/>
  <c r="AE12" i="356" s="1"/>
  <c r="AA12" i="356" a="1"/>
  <c r="AA12" i="356" s="1"/>
  <c r="W12" i="356" a="1"/>
  <c r="W12" i="356" s="1"/>
  <c r="W24" i="356" a="1"/>
  <c r="W24" i="356" s="1"/>
  <c r="S24" i="356" a="1"/>
  <c r="S24" i="356" s="1"/>
  <c r="O24" i="356" a="1"/>
  <c r="O24" i="356" s="1"/>
  <c r="K24" i="356" a="1"/>
  <c r="K24" i="356" s="1"/>
  <c r="G24" i="356" a="1"/>
  <c r="G24" i="356" s="1"/>
  <c r="AF12" i="356" a="1"/>
  <c r="AF12" i="356" s="1"/>
  <c r="X12" i="356" a="1"/>
  <c r="X12" i="356" s="1"/>
  <c r="AG24" i="356" a="1"/>
  <c r="AG24" i="356" s="1"/>
  <c r="AC24" i="356" a="1"/>
  <c r="AC24" i="356" s="1"/>
  <c r="Y24" i="356" a="1"/>
  <c r="Y24" i="356" s="1"/>
  <c r="U24" i="356" a="1"/>
  <c r="U24" i="356" s="1"/>
  <c r="Q24" i="356" a="1"/>
  <c r="Q24" i="356" s="1"/>
  <c r="M24" i="356" a="1"/>
  <c r="M24" i="356" s="1"/>
  <c r="I24" i="356" a="1"/>
  <c r="I24" i="356" s="1"/>
  <c r="E24" i="356" a="1"/>
  <c r="E24" i="356" s="1"/>
  <c r="AH12" i="356" a="1"/>
  <c r="AH12" i="356" s="1"/>
  <c r="AD12" i="356" a="1"/>
  <c r="AD12" i="356" s="1"/>
  <c r="Z12" i="356" a="1"/>
  <c r="Z12" i="356" s="1"/>
  <c r="AE24" i="356" a="1"/>
  <c r="AE24" i="356" s="1"/>
  <c r="AB12" i="356" a="1"/>
  <c r="AB12" i="356" s="1"/>
  <c r="AF24" i="356" a="1"/>
  <c r="AF24" i="356" s="1"/>
  <c r="AB24" i="356" a="1"/>
  <c r="AB24" i="356" s="1"/>
  <c r="X24" i="356" a="1"/>
  <c r="X24" i="356" s="1"/>
  <c r="T24" i="356" a="1"/>
  <c r="T24" i="356" s="1"/>
  <c r="P24" i="356" a="1"/>
  <c r="P24" i="356" s="1"/>
  <c r="L24" i="356" a="1"/>
  <c r="L24" i="356" s="1"/>
  <c r="H24" i="356" a="1"/>
  <c r="H24" i="356" s="1"/>
  <c r="D24" i="356" a="1"/>
  <c r="D24" i="356" s="1"/>
  <c r="AG12" i="356" a="1"/>
  <c r="AG12" i="356" s="1"/>
  <c r="AC12" i="356" a="1"/>
  <c r="AC12" i="356" s="1"/>
  <c r="Y12" i="356" a="1"/>
  <c r="Y12" i="356" s="1"/>
  <c r="W26" i="356" a="1"/>
  <c r="W26" i="356" s="1"/>
  <c r="AA24" i="356" a="1"/>
  <c r="AA24" i="356" s="1"/>
  <c r="AH24" i="351" a="1"/>
  <c r="AH24" i="351" s="1"/>
  <c r="AD24" i="351" a="1"/>
  <c r="AD24" i="351" s="1"/>
  <c r="Z24" i="351" a="1"/>
  <c r="Z24" i="351" s="1"/>
  <c r="V24" i="351" a="1"/>
  <c r="V24" i="351" s="1"/>
  <c r="R24" i="351" a="1"/>
  <c r="R24" i="351" s="1"/>
  <c r="N24" i="351" a="1"/>
  <c r="N24" i="351" s="1"/>
  <c r="J24" i="351" a="1"/>
  <c r="J24" i="351" s="1"/>
  <c r="F24" i="351" a="1"/>
  <c r="F24" i="351" s="1"/>
  <c r="AE12" i="351" a="1"/>
  <c r="AE12" i="351" s="1"/>
  <c r="AA12" i="351" a="1"/>
  <c r="AA12" i="351" s="1"/>
  <c r="W12" i="351" a="1"/>
  <c r="W12" i="351" s="1"/>
  <c r="AB12" i="351" a="1"/>
  <c r="AB12" i="351" s="1"/>
  <c r="AG24" i="351" a="1"/>
  <c r="AG24" i="351" s="1"/>
  <c r="AC24" i="351" a="1"/>
  <c r="AC24" i="351" s="1"/>
  <c r="Y24" i="351" a="1"/>
  <c r="Y24" i="351" s="1"/>
  <c r="U24" i="351" a="1"/>
  <c r="U24" i="351" s="1"/>
  <c r="Q24" i="351" a="1"/>
  <c r="Q24" i="351" s="1"/>
  <c r="M24" i="351" a="1"/>
  <c r="M24" i="351" s="1"/>
  <c r="I24" i="351" a="1"/>
  <c r="I24" i="351" s="1"/>
  <c r="E24" i="351" a="1"/>
  <c r="E24" i="351" s="1"/>
  <c r="AH12" i="351" a="1"/>
  <c r="AH12" i="351" s="1"/>
  <c r="AD12" i="351" a="1"/>
  <c r="AD12" i="351" s="1"/>
  <c r="Z12" i="351" a="1"/>
  <c r="Z12" i="351" s="1"/>
  <c r="X4" i="351" a="1"/>
  <c r="X4" i="351" s="1"/>
  <c r="W24" i="351" a="1"/>
  <c r="W24" i="351" s="1"/>
  <c r="K24" i="351" a="1"/>
  <c r="K24" i="351" s="1"/>
  <c r="AF24" i="351" a="1"/>
  <c r="AF24" i="351" s="1"/>
  <c r="AB24" i="351" a="1"/>
  <c r="AB24" i="351" s="1"/>
  <c r="X24" i="351" a="1"/>
  <c r="X24" i="351" s="1"/>
  <c r="T24" i="351" a="1"/>
  <c r="T24" i="351" s="1"/>
  <c r="P24" i="351" a="1"/>
  <c r="P24" i="351" s="1"/>
  <c r="L24" i="351" a="1"/>
  <c r="L24" i="351" s="1"/>
  <c r="H24" i="351" a="1"/>
  <c r="H24" i="351" s="1"/>
  <c r="D24" i="351" a="1"/>
  <c r="D24" i="351" s="1"/>
  <c r="AG12" i="351" a="1"/>
  <c r="AG12" i="351" s="1"/>
  <c r="AC12" i="351" a="1"/>
  <c r="AC12" i="351" s="1"/>
  <c r="Y12" i="351" a="1"/>
  <c r="Y12" i="351" s="1"/>
  <c r="W26" i="351" a="1"/>
  <c r="W26" i="351" s="1"/>
  <c r="M4" i="351" a="1"/>
  <c r="M4" i="351" s="1"/>
  <c r="H32" i="351" s="1"/>
  <c r="AE24" i="351" a="1"/>
  <c r="AE24" i="351" s="1"/>
  <c r="AA24" i="351" a="1"/>
  <c r="AA24" i="351" s="1"/>
  <c r="S24" i="351" a="1"/>
  <c r="S24" i="351" s="1"/>
  <c r="O24" i="351" a="1"/>
  <c r="O24" i="351" s="1"/>
  <c r="G24" i="351" a="1"/>
  <c r="G24" i="351" s="1"/>
  <c r="AF12" i="351" a="1"/>
  <c r="AF12" i="351" s="1"/>
  <c r="X12" i="351" a="1"/>
  <c r="X12" i="351" s="1"/>
  <c r="G3" i="206"/>
  <c r="D11" i="386" s="1"/>
  <c r="W34" i="347"/>
  <c r="W33" i="347"/>
  <c r="W32" i="347"/>
  <c r="AK20" i="347"/>
  <c r="AK21" i="347" s="1"/>
  <c r="D19" i="347"/>
  <c r="AK16" i="347"/>
  <c r="AK17" i="347" s="1"/>
  <c r="D7" i="347"/>
  <c r="A1" i="347" a="1"/>
  <c r="A1" i="347" s="1"/>
  <c r="D4" i="347" s="1"/>
  <c r="V12" i="347" s="1" a="1"/>
  <c r="V12" i="347" s="1"/>
  <c r="G7" i="206"/>
  <c r="D23" i="386" s="1"/>
  <c r="W34" i="345"/>
  <c r="W33" i="345"/>
  <c r="W32" i="345"/>
  <c r="AK20" i="345"/>
  <c r="AK21" i="345" s="1"/>
  <c r="D19" i="345"/>
  <c r="AK16" i="345"/>
  <c r="AK17" i="345" s="1"/>
  <c r="D7" i="345"/>
  <c r="A1" i="345" a="1"/>
  <c r="A1" i="345" s="1"/>
  <c r="D4" i="345" s="1"/>
  <c r="V12" i="345" s="1" a="1"/>
  <c r="V12" i="345" s="1"/>
  <c r="W34" i="342"/>
  <c r="W33" i="342"/>
  <c r="W32" i="342"/>
  <c r="AK20" i="342"/>
  <c r="AK21" i="342" s="1"/>
  <c r="D19" i="342"/>
  <c r="AK16" i="342"/>
  <c r="AK17" i="342" s="1"/>
  <c r="D7" i="342"/>
  <c r="A1" i="342" a="1"/>
  <c r="A1" i="342" s="1"/>
  <c r="D4" i="342" s="1"/>
  <c r="V12" i="342" s="1" a="1"/>
  <c r="V12" i="342" s="1"/>
  <c r="W34" i="341"/>
  <c r="W33" i="341"/>
  <c r="W32" i="341"/>
  <c r="AK20" i="341"/>
  <c r="AK21" i="341" s="1"/>
  <c r="D19" i="341"/>
  <c r="AK16" i="341"/>
  <c r="AK17" i="341" s="1"/>
  <c r="D7" i="341"/>
  <c r="A1" i="341" a="1"/>
  <c r="A1" i="341" s="1"/>
  <c r="D4" i="341" s="1"/>
  <c r="V12" i="341" s="1" a="1"/>
  <c r="V12" i="341" s="1"/>
  <c r="W34" i="338"/>
  <c r="W33" i="338"/>
  <c r="W32" i="338"/>
  <c r="AK21" i="338"/>
  <c r="AK20" i="338"/>
  <c r="D19" i="338"/>
  <c r="AK17" i="338"/>
  <c r="AK16" i="338"/>
  <c r="D7" i="338"/>
  <c r="A1" i="338" a="1"/>
  <c r="A1" i="338" s="1"/>
  <c r="D4" i="338" s="1"/>
  <c r="V12" i="338" s="1" a="1"/>
  <c r="V12" i="338" s="1"/>
  <c r="W34" i="337"/>
  <c r="W33" i="337"/>
  <c r="W32" i="337"/>
  <c r="AK21" i="337"/>
  <c r="AK20" i="337"/>
  <c r="D19" i="337"/>
  <c r="AK17" i="337"/>
  <c r="AK16" i="337"/>
  <c r="D7" i="337"/>
  <c r="A1" i="337" a="1"/>
  <c r="A1" i="337" s="1"/>
  <c r="D4" i="337" s="1"/>
  <c r="W34" i="336"/>
  <c r="W33" i="336"/>
  <c r="W32" i="336"/>
  <c r="AK20" i="336"/>
  <c r="AK21" i="336" s="1"/>
  <c r="D19" i="336"/>
  <c r="AK16" i="336"/>
  <c r="AK17" i="336" s="1"/>
  <c r="D7" i="336"/>
  <c r="A1" i="336" a="1"/>
  <c r="A1" i="336" s="1"/>
  <c r="D4" i="336" s="1"/>
  <c r="W34" i="335"/>
  <c r="W33" i="335"/>
  <c r="W32" i="335"/>
  <c r="AK20" i="335"/>
  <c r="AK21" i="335" s="1"/>
  <c r="D19" i="335"/>
  <c r="AK17" i="335"/>
  <c r="AK16" i="335"/>
  <c r="D7" i="335"/>
  <c r="A1" i="335" a="1"/>
  <c r="A1" i="335" s="1"/>
  <c r="D4" i="335" s="1"/>
  <c r="W34" i="334"/>
  <c r="W33" i="334"/>
  <c r="W32" i="334"/>
  <c r="AK20" i="334"/>
  <c r="AK21" i="334" s="1"/>
  <c r="D19" i="334"/>
  <c r="AK16" i="334"/>
  <c r="AK17" i="334" s="1"/>
  <c r="D7" i="334"/>
  <c r="A1" i="334" a="1"/>
  <c r="A1" i="334" s="1"/>
  <c r="D4" i="334" s="1"/>
  <c r="W34" i="330"/>
  <c r="W33" i="330"/>
  <c r="W32" i="330"/>
  <c r="AK21" i="330"/>
  <c r="AK20" i="330"/>
  <c r="D19" i="330"/>
  <c r="AK17" i="330"/>
  <c r="AK16" i="330"/>
  <c r="D7" i="330"/>
  <c r="A1" i="330" a="1"/>
  <c r="A1" i="330" s="1"/>
  <c r="D4" i="330" s="1"/>
  <c r="V12" i="330" s="1" a="1"/>
  <c r="V12" i="330" s="1"/>
  <c r="W34" i="329"/>
  <c r="W33" i="329"/>
  <c r="W32" i="329"/>
  <c r="AK21" i="329"/>
  <c r="AK20" i="329"/>
  <c r="D19" i="329"/>
  <c r="AK17" i="329"/>
  <c r="AK16" i="329"/>
  <c r="D7" i="329"/>
  <c r="A1" i="329" a="1"/>
  <c r="A1" i="329" s="1"/>
  <c r="D4" i="329" s="1"/>
  <c r="W34" i="324"/>
  <c r="W33" i="324"/>
  <c r="W32" i="324"/>
  <c r="AK20" i="324"/>
  <c r="AK21" i="324" s="1"/>
  <c r="D19" i="324"/>
  <c r="AK17" i="324"/>
  <c r="AK16" i="324"/>
  <c r="D7" i="324"/>
  <c r="A1" i="324" a="1"/>
  <c r="A1" i="324" s="1"/>
  <c r="D4" i="324" s="1"/>
  <c r="V12" i="324" s="1" a="1"/>
  <c r="V12" i="324" s="1"/>
  <c r="W34" i="323"/>
  <c r="W33" i="323"/>
  <c r="W32" i="323"/>
  <c r="AK20" i="323"/>
  <c r="AK21" i="323" s="1"/>
  <c r="D19" i="323"/>
  <c r="AK16" i="323"/>
  <c r="AK17" i="323" s="1"/>
  <c r="D7" i="323"/>
  <c r="A1" i="323" a="1"/>
  <c r="A1" i="323" s="1"/>
  <c r="D4" i="323" s="1"/>
  <c r="W34" i="322"/>
  <c r="W33" i="322"/>
  <c r="W32" i="322"/>
  <c r="AK20" i="322"/>
  <c r="AK21" i="322" s="1"/>
  <c r="D19" i="322"/>
  <c r="AK17" i="322"/>
  <c r="AK16" i="322"/>
  <c r="D7" i="322"/>
  <c r="A1" i="322" a="1"/>
  <c r="A1" i="322" s="1"/>
  <c r="D4" i="322" s="1"/>
  <c r="W34" i="319"/>
  <c r="W33" i="319"/>
  <c r="W32" i="319"/>
  <c r="AK20" i="319"/>
  <c r="AK21" i="319" s="1"/>
  <c r="D19" i="319"/>
  <c r="AK17" i="319"/>
  <c r="AK16" i="319"/>
  <c r="D7" i="319"/>
  <c r="A1" i="319" a="1"/>
  <c r="A1" i="319" s="1"/>
  <c r="D4" i="319" s="1"/>
  <c r="V12" i="319" s="1" a="1"/>
  <c r="V12" i="319" s="1"/>
  <c r="W34" i="316"/>
  <c r="W33" i="316"/>
  <c r="W32" i="316"/>
  <c r="AK21" i="316"/>
  <c r="AK20" i="316"/>
  <c r="D19" i="316"/>
  <c r="AK17" i="316"/>
  <c r="AK16" i="316"/>
  <c r="D7" i="316"/>
  <c r="A1" i="316" a="1"/>
  <c r="A1" i="316" s="1"/>
  <c r="D4" i="316" s="1"/>
  <c r="W34" i="309"/>
  <c r="W33" i="309"/>
  <c r="W32" i="309"/>
  <c r="AK21" i="309"/>
  <c r="AK20" i="309"/>
  <c r="D19" i="309"/>
  <c r="AK17" i="309"/>
  <c r="AK16" i="309"/>
  <c r="D7" i="309"/>
  <c r="A1" i="309" a="1"/>
  <c r="A1" i="309" s="1"/>
  <c r="D4" i="309" s="1"/>
  <c r="V12" i="309" s="1" a="1"/>
  <c r="V12" i="309" s="1"/>
  <c r="W34" i="307"/>
  <c r="W33" i="307"/>
  <c r="W32" i="307"/>
  <c r="AK21" i="307"/>
  <c r="AK20" i="307"/>
  <c r="D19" i="307"/>
  <c r="AK17" i="307"/>
  <c r="AK16" i="307"/>
  <c r="D7" i="307"/>
  <c r="A1" i="307" a="1"/>
  <c r="A1" i="307" s="1"/>
  <c r="D4" i="307" s="1"/>
  <c r="W34" i="306"/>
  <c r="W33" i="306"/>
  <c r="W32" i="306"/>
  <c r="AK20" i="306"/>
  <c r="AK21" i="306" s="1"/>
  <c r="D19" i="306"/>
  <c r="AK16" i="306"/>
  <c r="AK17" i="306" s="1"/>
  <c r="D7" i="306"/>
  <c r="A1" i="306" a="1"/>
  <c r="A1" i="306" s="1"/>
  <c r="D4" i="306" s="1"/>
  <c r="W34" i="305"/>
  <c r="W33" i="305"/>
  <c r="W32" i="305"/>
  <c r="AK20" i="305"/>
  <c r="AK21" i="305" s="1"/>
  <c r="D19" i="305"/>
  <c r="AK16" i="305"/>
  <c r="AK17" i="305" s="1"/>
  <c r="D7" i="305"/>
  <c r="A1" i="305" a="1"/>
  <c r="A1" i="305" s="1"/>
  <c r="D4" i="305" s="1"/>
  <c r="W34" i="303"/>
  <c r="W33" i="303"/>
  <c r="W32" i="303"/>
  <c r="AK21" i="303"/>
  <c r="AK20" i="303"/>
  <c r="D19" i="303"/>
  <c r="AK17" i="303"/>
  <c r="AK16" i="303"/>
  <c r="D7" i="303"/>
  <c r="A1" i="303" a="1"/>
  <c r="A1" i="303" s="1"/>
  <c r="D4" i="303" s="1"/>
  <c r="W34" i="298"/>
  <c r="W33" i="298"/>
  <c r="W32" i="298"/>
  <c r="AK21" i="298"/>
  <c r="AK20" i="298"/>
  <c r="D19" i="298"/>
  <c r="AK17" i="298"/>
  <c r="AK16" i="298"/>
  <c r="D7" i="298"/>
  <c r="A1" i="298" a="1"/>
  <c r="A1" i="298" s="1"/>
  <c r="D4" i="298" s="1"/>
  <c r="V12" i="298" s="1" a="1"/>
  <c r="V12" i="298" s="1"/>
  <c r="W34" i="294"/>
  <c r="W33" i="294"/>
  <c r="W32" i="294"/>
  <c r="AK20" i="294"/>
  <c r="AK21" i="294" s="1"/>
  <c r="D19" i="294"/>
  <c r="AK17" i="294"/>
  <c r="AK16" i="294"/>
  <c r="D7" i="294"/>
  <c r="A1" i="294" a="1"/>
  <c r="A1" i="294" s="1"/>
  <c r="D4" i="294" s="1"/>
  <c r="V12" i="294" s="1" a="1"/>
  <c r="V12" i="294" s="1"/>
  <c r="W34" i="292"/>
  <c r="W33" i="292"/>
  <c r="W32" i="292"/>
  <c r="AK20" i="292"/>
  <c r="AK21" i="292" s="1"/>
  <c r="D19" i="292"/>
  <c r="AK16" i="292"/>
  <c r="AK17" i="292" s="1"/>
  <c r="D7" i="292"/>
  <c r="A1" i="292" a="1"/>
  <c r="A1" i="292" s="1"/>
  <c r="D4" i="292" s="1"/>
  <c r="V12" i="292" s="1" a="1"/>
  <c r="V12" i="292" s="1"/>
  <c r="W34" i="289"/>
  <c r="W33" i="289"/>
  <c r="W32" i="289"/>
  <c r="AK21" i="289"/>
  <c r="AK20" i="289"/>
  <c r="D19" i="289"/>
  <c r="AK17" i="289"/>
  <c r="AK16" i="289"/>
  <c r="D7" i="289"/>
  <c r="A1" i="289" a="1"/>
  <c r="A1" i="289" s="1"/>
  <c r="D4" i="289" s="1"/>
  <c r="W34" i="282"/>
  <c r="W33" i="282"/>
  <c r="W32" i="282"/>
  <c r="AK21" i="282"/>
  <c r="AK20" i="282"/>
  <c r="D19" i="282"/>
  <c r="AK17" i="282"/>
  <c r="AK16" i="282"/>
  <c r="D7" i="282"/>
  <c r="A1" i="282" a="1"/>
  <c r="A1" i="282" s="1"/>
  <c r="D4" i="282" s="1"/>
  <c r="W34" i="281"/>
  <c r="W33" i="281"/>
  <c r="W32" i="281"/>
  <c r="AK20" i="281"/>
  <c r="AK21" i="281" s="1"/>
  <c r="D19" i="281"/>
  <c r="AK16" i="281"/>
  <c r="AK17" i="281" s="1"/>
  <c r="D7" i="281"/>
  <c r="A1" i="281" a="1"/>
  <c r="A1" i="281" s="1"/>
  <c r="D4" i="281" s="1"/>
  <c r="V12" i="281" s="1" a="1"/>
  <c r="V12" i="281" s="1"/>
  <c r="W34" i="280"/>
  <c r="W33" i="280"/>
  <c r="W32" i="280"/>
  <c r="AK20" i="280"/>
  <c r="AK21" i="280" s="1"/>
  <c r="D19" i="280"/>
  <c r="AK17" i="280"/>
  <c r="AK16" i="280"/>
  <c r="D7" i="280"/>
  <c r="A1" i="280" a="1"/>
  <c r="A1" i="280" s="1"/>
  <c r="D4" i="280" s="1"/>
  <c r="V12" i="280" s="1" a="1"/>
  <c r="V12" i="280" s="1"/>
  <c r="W34" i="279"/>
  <c r="W33" i="279"/>
  <c r="W32" i="279"/>
  <c r="AK21" i="279"/>
  <c r="AK20" i="279"/>
  <c r="D19" i="279"/>
  <c r="AK16" i="279"/>
  <c r="AK17" i="279" s="1"/>
  <c r="D7" i="279"/>
  <c r="A1" i="279" a="1"/>
  <c r="A1" i="279" s="1"/>
  <c r="D4" i="279" s="1"/>
  <c r="V12" i="279" s="1" a="1"/>
  <c r="V12" i="279" s="1"/>
  <c r="W34" i="276"/>
  <c r="W33" i="276"/>
  <c r="W32" i="276"/>
  <c r="AK20" i="276"/>
  <c r="AK21" i="276" s="1"/>
  <c r="D19" i="276"/>
  <c r="AK16" i="276"/>
  <c r="AK17" i="276" s="1"/>
  <c r="D7" i="276"/>
  <c r="A1" i="276" a="1"/>
  <c r="A1" i="276" s="1"/>
  <c r="D4" i="276" s="1"/>
  <c r="S28" i="382" l="1"/>
  <c r="D23" i="374"/>
  <c r="D23" i="375"/>
  <c r="D23" i="377"/>
  <c r="D11" i="375"/>
  <c r="D11" i="377"/>
  <c r="D11" i="374"/>
  <c r="D23" i="384"/>
  <c r="D23" i="381"/>
  <c r="D23" i="378"/>
  <c r="D23" i="382"/>
  <c r="D23" i="379"/>
  <c r="D11" i="384"/>
  <c r="D11" i="378"/>
  <c r="D11" i="381"/>
  <c r="D11" i="382"/>
  <c r="D11" i="379"/>
  <c r="S28" i="381"/>
  <c r="S28" i="379"/>
  <c r="S28" i="378"/>
  <c r="G14" i="377"/>
  <c r="G26" i="377"/>
  <c r="G26" i="375"/>
  <c r="G14" i="375"/>
  <c r="G26" i="374"/>
  <c r="G14" i="374"/>
  <c r="L24" i="289" a="1"/>
  <c r="L24" i="289" s="1"/>
  <c r="V12" i="289" a="1"/>
  <c r="V12" i="289" s="1"/>
  <c r="AD24" i="322" a="1"/>
  <c r="AD24" i="322" s="1"/>
  <c r="V12" i="322" a="1"/>
  <c r="V12" i="322" s="1"/>
  <c r="R24" i="334" a="1"/>
  <c r="R24" i="334" s="1"/>
  <c r="V12" i="334" a="1"/>
  <c r="V12" i="334" s="1"/>
  <c r="AE24" i="335" a="1"/>
  <c r="AE24" i="335" s="1"/>
  <c r="V12" i="335" a="1"/>
  <c r="V12" i="335" s="1"/>
  <c r="AF24" i="303" a="1"/>
  <c r="AF24" i="303" s="1"/>
  <c r="V12" i="303" a="1"/>
  <c r="V12" i="303" s="1"/>
  <c r="V24" i="316" a="1"/>
  <c r="V24" i="316" s="1"/>
  <c r="V12" i="316" a="1"/>
  <c r="V12" i="316" s="1"/>
  <c r="AH12" i="282" a="1"/>
  <c r="AH12" i="282" s="1"/>
  <c r="V12" i="282" a="1"/>
  <c r="V12" i="282" s="1"/>
  <c r="AE24" i="323" a="1"/>
  <c r="AE24" i="323" s="1"/>
  <c r="V12" i="323" a="1"/>
  <c r="V12" i="323" s="1"/>
  <c r="AD24" i="336" a="1"/>
  <c r="AD24" i="336" s="1"/>
  <c r="V12" i="336" a="1"/>
  <c r="V12" i="336" s="1"/>
  <c r="Y12" i="337" a="1"/>
  <c r="Y12" i="337" s="1"/>
  <c r="V12" i="337" a="1"/>
  <c r="V12" i="337" s="1"/>
  <c r="AC24" i="305" a="1"/>
  <c r="AC24" i="305" s="1"/>
  <c r="V12" i="305" a="1"/>
  <c r="V12" i="305" s="1"/>
  <c r="I24" i="306" a="1"/>
  <c r="I24" i="306" s="1"/>
  <c r="V12" i="306" a="1"/>
  <c r="V12" i="306" s="1"/>
  <c r="K24" i="307" a="1"/>
  <c r="K24" i="307" s="1"/>
  <c r="V12" i="307" a="1"/>
  <c r="V12" i="307" s="1"/>
  <c r="Y12" i="329" a="1"/>
  <c r="Y12" i="329" s="1"/>
  <c r="V12" i="329" a="1"/>
  <c r="V12" i="329" s="1"/>
  <c r="W12" i="276" a="1"/>
  <c r="W12" i="276" s="1"/>
  <c r="V12" i="276" a="1"/>
  <c r="V12" i="276" s="1"/>
  <c r="D23" i="371"/>
  <c r="D23" i="370"/>
  <c r="D11" i="370"/>
  <c r="D11" i="371"/>
  <c r="N24" i="338" a="1"/>
  <c r="N24" i="338" s="1"/>
  <c r="AB12" i="330" a="1"/>
  <c r="AB12" i="330" s="1"/>
  <c r="G14" i="371"/>
  <c r="G26" i="371"/>
  <c r="G14" i="370"/>
  <c r="G26" i="370"/>
  <c r="D23" i="369"/>
  <c r="D23" i="362"/>
  <c r="D23" i="351"/>
  <c r="D23" i="361"/>
  <c r="D23" i="368"/>
  <c r="D23" i="364"/>
  <c r="D23" i="356"/>
  <c r="D23" i="363"/>
  <c r="D23" i="367"/>
  <c r="D23" i="360"/>
  <c r="D23" i="359"/>
  <c r="D11" i="356"/>
  <c r="D11" i="363"/>
  <c r="D11" i="359"/>
  <c r="D11" i="351"/>
  <c r="D11" i="364"/>
  <c r="D11" i="367"/>
  <c r="D11" i="361"/>
  <c r="D11" i="362"/>
  <c r="D11" i="368"/>
  <c r="D11" i="360"/>
  <c r="D11" i="369"/>
  <c r="G14" i="369"/>
  <c r="G26" i="369"/>
  <c r="G14" i="368"/>
  <c r="G26" i="368"/>
  <c r="G26" i="367"/>
  <c r="G14" i="367"/>
  <c r="G26" i="364"/>
  <c r="G14" i="364"/>
  <c r="G26" i="363"/>
  <c r="G14" i="363"/>
  <c r="G26" i="362"/>
  <c r="G14" i="362"/>
  <c r="G26" i="361"/>
  <c r="G14" i="361"/>
  <c r="G26" i="360"/>
  <c r="G14" i="360"/>
  <c r="G14" i="359"/>
  <c r="G26" i="359"/>
  <c r="G14" i="356"/>
  <c r="G26" i="356"/>
  <c r="G14" i="351"/>
  <c r="G26" i="351"/>
  <c r="D23" i="347"/>
  <c r="D11" i="347"/>
  <c r="M4" i="347" a="1"/>
  <c r="M4" i="347" s="1"/>
  <c r="H32" i="347" s="1"/>
  <c r="X4" i="347" a="1"/>
  <c r="X4" i="347" s="1"/>
  <c r="W12" i="347" a="1"/>
  <c r="W12" i="347" s="1"/>
  <c r="X12" i="347" a="1"/>
  <c r="X12" i="347" s="1"/>
  <c r="Y12" i="347" a="1"/>
  <c r="Y12" i="347" s="1"/>
  <c r="Z12" i="347" a="1"/>
  <c r="Z12" i="347" s="1"/>
  <c r="AA12" i="347" a="1"/>
  <c r="AA12" i="347" s="1"/>
  <c r="AB12" i="347" a="1"/>
  <c r="AB12" i="347" s="1"/>
  <c r="AC12" i="347" a="1"/>
  <c r="AC12" i="347" s="1"/>
  <c r="AD12" i="347" a="1"/>
  <c r="AD12" i="347" s="1"/>
  <c r="AE12" i="347" a="1"/>
  <c r="AE12" i="347" s="1"/>
  <c r="AF12" i="347" a="1"/>
  <c r="AF12" i="347" s="1"/>
  <c r="AG12" i="347" a="1"/>
  <c r="AG12" i="347" s="1"/>
  <c r="AH12" i="347" a="1"/>
  <c r="AH12" i="347" s="1"/>
  <c r="J24" i="347" a="1"/>
  <c r="J24" i="347" s="1"/>
  <c r="K24" i="347" a="1"/>
  <c r="K24" i="347" s="1"/>
  <c r="L24" i="347" a="1"/>
  <c r="L24" i="347" s="1"/>
  <c r="M24" i="347" a="1"/>
  <c r="M24" i="347" s="1"/>
  <c r="N24" i="347" a="1"/>
  <c r="N24" i="347" s="1"/>
  <c r="O24" i="347" a="1"/>
  <c r="O24" i="347" s="1"/>
  <c r="P24" i="347" a="1"/>
  <c r="P24" i="347" s="1"/>
  <c r="Q24" i="347" a="1"/>
  <c r="Q24" i="347" s="1"/>
  <c r="R24" i="347" a="1"/>
  <c r="R24" i="347" s="1"/>
  <c r="S24" i="347" a="1"/>
  <c r="S24" i="347" s="1"/>
  <c r="T24" i="347" a="1"/>
  <c r="T24" i="347" s="1"/>
  <c r="U24" i="347" a="1"/>
  <c r="U24" i="347" s="1"/>
  <c r="V24" i="347" a="1"/>
  <c r="V24" i="347" s="1"/>
  <c r="W24" i="347" a="1"/>
  <c r="W24" i="347" s="1"/>
  <c r="X24" i="347" a="1"/>
  <c r="X24" i="347" s="1"/>
  <c r="Y24" i="347" a="1"/>
  <c r="Y24" i="347" s="1"/>
  <c r="Z24" i="347" a="1"/>
  <c r="Z24" i="347" s="1"/>
  <c r="AA24" i="347" a="1"/>
  <c r="AA24" i="347" s="1"/>
  <c r="AB24" i="347" a="1"/>
  <c r="AB24" i="347" s="1"/>
  <c r="AC24" i="347" a="1"/>
  <c r="AC24" i="347" s="1"/>
  <c r="AD24" i="347" a="1"/>
  <c r="AD24" i="347" s="1"/>
  <c r="AE24" i="347" a="1"/>
  <c r="AE24" i="347" s="1"/>
  <c r="AF24" i="347" a="1"/>
  <c r="AF24" i="347" s="1"/>
  <c r="AG24" i="347" a="1"/>
  <c r="AG24" i="347" s="1"/>
  <c r="AH24" i="347" a="1"/>
  <c r="AH24" i="347" s="1"/>
  <c r="W26" i="347" a="1"/>
  <c r="W26" i="347" s="1"/>
  <c r="D24" i="347" a="1"/>
  <c r="D24" i="347" s="1"/>
  <c r="E24" i="347" a="1"/>
  <c r="E24" i="347" s="1"/>
  <c r="F24" i="347" a="1"/>
  <c r="F24" i="347" s="1"/>
  <c r="G24" i="347" a="1"/>
  <c r="G24" i="347" s="1"/>
  <c r="H24" i="347" a="1"/>
  <c r="H24" i="347" s="1"/>
  <c r="I24" i="347" a="1"/>
  <c r="I24" i="347" s="1"/>
  <c r="X12" i="345" a="1"/>
  <c r="X12" i="345" s="1"/>
  <c r="Y12" i="345" a="1"/>
  <c r="Y12" i="345" s="1"/>
  <c r="Z12" i="345" a="1"/>
  <c r="Z12" i="345" s="1"/>
  <c r="AA12" i="345" a="1"/>
  <c r="AA12" i="345" s="1"/>
  <c r="AC12" i="345" a="1"/>
  <c r="AC12" i="345" s="1"/>
  <c r="AE12" i="345" a="1"/>
  <c r="AE12" i="345" s="1"/>
  <c r="AG12" i="345" a="1"/>
  <c r="AG12" i="345" s="1"/>
  <c r="AH12" i="345" a="1"/>
  <c r="AH12" i="345" s="1"/>
  <c r="F24" i="345" a="1"/>
  <c r="F24" i="345" s="1"/>
  <c r="G24" i="345" a="1"/>
  <c r="G24" i="345" s="1"/>
  <c r="H24" i="345" a="1"/>
  <c r="H24" i="345" s="1"/>
  <c r="I24" i="345" a="1"/>
  <c r="I24" i="345" s="1"/>
  <c r="J24" i="345" a="1"/>
  <c r="J24" i="345" s="1"/>
  <c r="K24" i="345" a="1"/>
  <c r="K24" i="345" s="1"/>
  <c r="L24" i="345" a="1"/>
  <c r="L24" i="345" s="1"/>
  <c r="M24" i="345" a="1"/>
  <c r="M24" i="345" s="1"/>
  <c r="N24" i="345" a="1"/>
  <c r="N24" i="345" s="1"/>
  <c r="O24" i="345" a="1"/>
  <c r="O24" i="345" s="1"/>
  <c r="P24" i="345" a="1"/>
  <c r="P24" i="345" s="1"/>
  <c r="Q24" i="345" a="1"/>
  <c r="Q24" i="345" s="1"/>
  <c r="R24" i="345" a="1"/>
  <c r="R24" i="345" s="1"/>
  <c r="S24" i="345" a="1"/>
  <c r="S24" i="345" s="1"/>
  <c r="T24" i="345" a="1"/>
  <c r="T24" i="345" s="1"/>
  <c r="U24" i="345" a="1"/>
  <c r="U24" i="345" s="1"/>
  <c r="V24" i="345" a="1"/>
  <c r="V24" i="345" s="1"/>
  <c r="W24" i="345" a="1"/>
  <c r="W24" i="345" s="1"/>
  <c r="X24" i="345" a="1"/>
  <c r="X24" i="345" s="1"/>
  <c r="Y24" i="345" a="1"/>
  <c r="Y24" i="345" s="1"/>
  <c r="Z24" i="345" a="1"/>
  <c r="Z24" i="345" s="1"/>
  <c r="AA24" i="345" a="1"/>
  <c r="AA24" i="345" s="1"/>
  <c r="AB24" i="345" a="1"/>
  <c r="AB24" i="345" s="1"/>
  <c r="AC24" i="345" a="1"/>
  <c r="AC24" i="345" s="1"/>
  <c r="AD24" i="345" a="1"/>
  <c r="AD24" i="345" s="1"/>
  <c r="AE24" i="345" a="1"/>
  <c r="AE24" i="345" s="1"/>
  <c r="AF24" i="345" a="1"/>
  <c r="AF24" i="345" s="1"/>
  <c r="AG24" i="345" a="1"/>
  <c r="AG24" i="345" s="1"/>
  <c r="AH24" i="345" a="1"/>
  <c r="AH24" i="345" s="1"/>
  <c r="W26" i="345" a="1"/>
  <c r="W26" i="345" s="1"/>
  <c r="M4" i="345" a="1"/>
  <c r="M4" i="345" s="1"/>
  <c r="H32" i="345" s="1"/>
  <c r="X4" i="345" a="1"/>
  <c r="X4" i="345" s="1"/>
  <c r="W12" i="345" a="1"/>
  <c r="W12" i="345" s="1"/>
  <c r="AB12" i="345" a="1"/>
  <c r="AB12" i="345" s="1"/>
  <c r="AD12" i="345" a="1"/>
  <c r="AD12" i="345" s="1"/>
  <c r="AF12" i="345" a="1"/>
  <c r="AF12" i="345" s="1"/>
  <c r="D24" i="345" a="1"/>
  <c r="D24" i="345" s="1"/>
  <c r="E24" i="345" a="1"/>
  <c r="E24" i="345" s="1"/>
  <c r="M4" i="342" a="1"/>
  <c r="M4" i="342" s="1"/>
  <c r="H32" i="342" s="1"/>
  <c r="X4" i="342" a="1"/>
  <c r="X4" i="342" s="1"/>
  <c r="W12" i="342" a="1"/>
  <c r="W12" i="342" s="1"/>
  <c r="X12" i="342" a="1"/>
  <c r="X12" i="342" s="1"/>
  <c r="Y12" i="342" a="1"/>
  <c r="Y12" i="342" s="1"/>
  <c r="Z12" i="342" a="1"/>
  <c r="Z12" i="342" s="1"/>
  <c r="AA12" i="342" a="1"/>
  <c r="AA12" i="342" s="1"/>
  <c r="AB12" i="342" a="1"/>
  <c r="AB12" i="342" s="1"/>
  <c r="AC12" i="342" a="1"/>
  <c r="AC12" i="342" s="1"/>
  <c r="AD12" i="342" a="1"/>
  <c r="AD12" i="342" s="1"/>
  <c r="AE12" i="342" a="1"/>
  <c r="AE12" i="342" s="1"/>
  <c r="AF12" i="342" a="1"/>
  <c r="AF12" i="342" s="1"/>
  <c r="AG12" i="342" a="1"/>
  <c r="AG12" i="342" s="1"/>
  <c r="AH12" i="342" a="1"/>
  <c r="AH12" i="342" s="1"/>
  <c r="D24" i="342" a="1"/>
  <c r="D24" i="342" s="1"/>
  <c r="E24" i="342" a="1"/>
  <c r="E24" i="342" s="1"/>
  <c r="F24" i="342" a="1"/>
  <c r="F24" i="342" s="1"/>
  <c r="G24" i="342" a="1"/>
  <c r="G24" i="342" s="1"/>
  <c r="H24" i="342" a="1"/>
  <c r="H24" i="342" s="1"/>
  <c r="I24" i="342" a="1"/>
  <c r="I24" i="342" s="1"/>
  <c r="J24" i="342" a="1"/>
  <c r="J24" i="342" s="1"/>
  <c r="K24" i="342" a="1"/>
  <c r="K24" i="342" s="1"/>
  <c r="L24" i="342" a="1"/>
  <c r="L24" i="342" s="1"/>
  <c r="M24" i="342" a="1"/>
  <c r="M24" i="342" s="1"/>
  <c r="N24" i="342" a="1"/>
  <c r="N24" i="342" s="1"/>
  <c r="O24" i="342" a="1"/>
  <c r="O24" i="342" s="1"/>
  <c r="P24" i="342" a="1"/>
  <c r="P24" i="342" s="1"/>
  <c r="Q24" i="342" a="1"/>
  <c r="Q24" i="342" s="1"/>
  <c r="R24" i="342" a="1"/>
  <c r="R24" i="342" s="1"/>
  <c r="S24" i="342" a="1"/>
  <c r="S24" i="342" s="1"/>
  <c r="T24" i="342" a="1"/>
  <c r="T24" i="342" s="1"/>
  <c r="U24" i="342" a="1"/>
  <c r="U24" i="342" s="1"/>
  <c r="V24" i="342" a="1"/>
  <c r="V24" i="342" s="1"/>
  <c r="W24" i="342" a="1"/>
  <c r="W24" i="342" s="1"/>
  <c r="X24" i="342" a="1"/>
  <c r="X24" i="342" s="1"/>
  <c r="Y24" i="342" a="1"/>
  <c r="Y24" i="342" s="1"/>
  <c r="Z24" i="342" a="1"/>
  <c r="Z24" i="342" s="1"/>
  <c r="AA24" i="342" a="1"/>
  <c r="AA24" i="342" s="1"/>
  <c r="AB24" i="342" a="1"/>
  <c r="AB24" i="342" s="1"/>
  <c r="AC24" i="342" a="1"/>
  <c r="AC24" i="342" s="1"/>
  <c r="AD24" i="342" a="1"/>
  <c r="AD24" i="342" s="1"/>
  <c r="AE24" i="342" a="1"/>
  <c r="AE24" i="342" s="1"/>
  <c r="AF24" i="342" a="1"/>
  <c r="AF24" i="342" s="1"/>
  <c r="AG24" i="342" a="1"/>
  <c r="AG24" i="342" s="1"/>
  <c r="AH24" i="342" a="1"/>
  <c r="AH24" i="342" s="1"/>
  <c r="W26" i="342" a="1"/>
  <c r="W26" i="342" s="1"/>
  <c r="AD12" i="303" a="1"/>
  <c r="AD12" i="303" s="1"/>
  <c r="D24" i="335" a="1"/>
  <c r="D24" i="335" s="1"/>
  <c r="AE12" i="303" a="1"/>
  <c r="AE12" i="303" s="1"/>
  <c r="AC24" i="289" a="1"/>
  <c r="AC24" i="289" s="1"/>
  <c r="AH24" i="289" a="1"/>
  <c r="AH24" i="289" s="1"/>
  <c r="AC24" i="303" a="1"/>
  <c r="AC24" i="303" s="1"/>
  <c r="AA24" i="303" a="1"/>
  <c r="AA24" i="303" s="1"/>
  <c r="W24" i="316" a="1"/>
  <c r="W24" i="316" s="1"/>
  <c r="M24" i="303" a="1"/>
  <c r="M24" i="303" s="1"/>
  <c r="D24" i="305" a="1"/>
  <c r="D24" i="305" s="1"/>
  <c r="Y24" i="316" a="1"/>
  <c r="Y24" i="316" s="1"/>
  <c r="R24" i="303" a="1"/>
  <c r="R24" i="303" s="1"/>
  <c r="J24" i="305" a="1"/>
  <c r="J24" i="305" s="1"/>
  <c r="AC24" i="316" a="1"/>
  <c r="AC24" i="316" s="1"/>
  <c r="U24" i="303" a="1"/>
  <c r="U24" i="303" s="1"/>
  <c r="U24" i="289" a="1"/>
  <c r="U24" i="289" s="1"/>
  <c r="W24" i="303" a="1"/>
  <c r="W24" i="303" s="1"/>
  <c r="Q24" i="307" a="1"/>
  <c r="Q24" i="307" s="1"/>
  <c r="R24" i="307" a="1"/>
  <c r="R24" i="307" s="1"/>
  <c r="W24" i="307" a="1"/>
  <c r="W24" i="307" s="1"/>
  <c r="AE24" i="341" a="1"/>
  <c r="AE24" i="341" s="1"/>
  <c r="Z24" i="341" a="1"/>
  <c r="Z24" i="341" s="1"/>
  <c r="S24" i="341" a="1"/>
  <c r="S24" i="341" s="1"/>
  <c r="R24" i="341" a="1"/>
  <c r="R24" i="341" s="1"/>
  <c r="AB12" i="341" a="1"/>
  <c r="AB12" i="341" s="1"/>
  <c r="P24" i="319" a="1"/>
  <c r="P24" i="319" s="1"/>
  <c r="Y12" i="319" a="1"/>
  <c r="Y12" i="319" s="1"/>
  <c r="AG24" i="319" a="1"/>
  <c r="AG24" i="319" s="1"/>
  <c r="Q24" i="319" a="1"/>
  <c r="Q24" i="319" s="1"/>
  <c r="H24" i="319" a="1"/>
  <c r="H24" i="319" s="1"/>
  <c r="E24" i="319" a="1"/>
  <c r="E24" i="319" s="1"/>
  <c r="M24" i="319" a="1"/>
  <c r="M24" i="319" s="1"/>
  <c r="AF12" i="337" a="1"/>
  <c r="AF12" i="337" s="1"/>
  <c r="AA12" i="303" a="1"/>
  <c r="AA12" i="303" s="1"/>
  <c r="Z24" i="303" a="1"/>
  <c r="Z24" i="303" s="1"/>
  <c r="X24" i="316" a="1"/>
  <c r="X24" i="316" s="1"/>
  <c r="AA24" i="329" a="1"/>
  <c r="AA24" i="329" s="1"/>
  <c r="E24" i="335" a="1"/>
  <c r="E24" i="335" s="1"/>
  <c r="G24" i="335" a="1"/>
  <c r="G24" i="335" s="1"/>
  <c r="X4" i="335" a="1"/>
  <c r="X4" i="335" s="1"/>
  <c r="H24" i="335" a="1"/>
  <c r="H24" i="335" s="1"/>
  <c r="AD24" i="289" a="1"/>
  <c r="AD24" i="289" s="1"/>
  <c r="AE24" i="303" a="1"/>
  <c r="AE24" i="303" s="1"/>
  <c r="U24" i="335" a="1"/>
  <c r="U24" i="335" s="1"/>
  <c r="AA24" i="335" a="1"/>
  <c r="AA24" i="335" s="1"/>
  <c r="G24" i="336" a="1"/>
  <c r="G24" i="336" s="1"/>
  <c r="AD12" i="289" a="1"/>
  <c r="AD12" i="289" s="1"/>
  <c r="H24" i="336" a="1"/>
  <c r="H24" i="336" s="1"/>
  <c r="X24" i="336" a="1"/>
  <c r="X24" i="336" s="1"/>
  <c r="O24" i="337" a="1"/>
  <c r="O24" i="337" s="1"/>
  <c r="X4" i="305" a="1"/>
  <c r="X4" i="305" s="1"/>
  <c r="N24" i="305" a="1"/>
  <c r="N24" i="305" s="1"/>
  <c r="AA12" i="305" a="1"/>
  <c r="AA12" i="305" s="1"/>
  <c r="Q24" i="305" a="1"/>
  <c r="Q24" i="305" s="1"/>
  <c r="AH24" i="336" a="1"/>
  <c r="AH24" i="336" s="1"/>
  <c r="Y24" i="337" a="1"/>
  <c r="Y24" i="337" s="1"/>
  <c r="AC12" i="305" a="1"/>
  <c r="AC12" i="305" s="1"/>
  <c r="W26" i="305" a="1"/>
  <c r="W26" i="305" s="1"/>
  <c r="M4" i="303" a="1"/>
  <c r="M4" i="303" s="1"/>
  <c r="H32" i="303" s="1"/>
  <c r="AD12" i="305" a="1"/>
  <c r="AD12" i="305" s="1"/>
  <c r="M4" i="336" a="1"/>
  <c r="M4" i="336" s="1"/>
  <c r="H32" i="336" s="1"/>
  <c r="M24" i="305" a="1"/>
  <c r="M24" i="305" s="1"/>
  <c r="AF12" i="289" a="1"/>
  <c r="AF12" i="289" s="1"/>
  <c r="J24" i="303" a="1"/>
  <c r="J24" i="303" s="1"/>
  <c r="AF12" i="305" a="1"/>
  <c r="AF12" i="305" s="1"/>
  <c r="AE24" i="276" a="1"/>
  <c r="AE24" i="276" s="1"/>
  <c r="V24" i="276" a="1"/>
  <c r="V24" i="276" s="1"/>
  <c r="AA12" i="276" a="1"/>
  <c r="AA12" i="276" s="1"/>
  <c r="R24" i="276" a="1"/>
  <c r="R24" i="276" s="1"/>
  <c r="Y12" i="276" a="1"/>
  <c r="Y12" i="276" s="1"/>
  <c r="O24" i="276" a="1"/>
  <c r="O24" i="276" s="1"/>
  <c r="Q24" i="276" a="1"/>
  <c r="Q24" i="276" s="1"/>
  <c r="X12" i="276" a="1"/>
  <c r="X12" i="276" s="1"/>
  <c r="P24" i="276" a="1"/>
  <c r="P24" i="276" s="1"/>
  <c r="K24" i="276" a="1"/>
  <c r="K24" i="276" s="1"/>
  <c r="AA24" i="276" a="1"/>
  <c r="AA24" i="276" s="1"/>
  <c r="AH12" i="276" a="1"/>
  <c r="AH12" i="276" s="1"/>
  <c r="W24" i="276" a="1"/>
  <c r="W24" i="276" s="1"/>
  <c r="AE12" i="276" a="1"/>
  <c r="AE12" i="276" s="1"/>
  <c r="AB12" i="276" a="1"/>
  <c r="AB12" i="276" s="1"/>
  <c r="AF24" i="276" a="1"/>
  <c r="AF24" i="276" s="1"/>
  <c r="AD24" i="276" a="1"/>
  <c r="AD24" i="276" s="1"/>
  <c r="S24" i="276" a="1"/>
  <c r="S24" i="276" s="1"/>
  <c r="M4" i="276" a="1"/>
  <c r="M4" i="276" s="1"/>
  <c r="H32" i="276" s="1"/>
  <c r="I24" i="276" a="1"/>
  <c r="I24" i="276" s="1"/>
  <c r="Z12" i="276" a="1"/>
  <c r="Z12" i="276" s="1"/>
  <c r="W26" i="276" a="1"/>
  <c r="W26" i="276" s="1"/>
  <c r="W26" i="309" a="1"/>
  <c r="W26" i="309" s="1"/>
  <c r="Q24" i="309" a="1"/>
  <c r="Q24" i="309" s="1"/>
  <c r="J24" i="309" a="1"/>
  <c r="J24" i="309" s="1"/>
  <c r="K24" i="309" a="1"/>
  <c r="K24" i="309" s="1"/>
  <c r="AF12" i="279" a="1"/>
  <c r="AF12" i="279" s="1"/>
  <c r="W26" i="279" a="1"/>
  <c r="W26" i="279" s="1"/>
  <c r="AC12" i="279" a="1"/>
  <c r="AC12" i="279" s="1"/>
  <c r="AB12" i="279" a="1"/>
  <c r="AB12" i="279" s="1"/>
  <c r="AE24" i="279" a="1"/>
  <c r="AE24" i="279" s="1"/>
  <c r="O24" i="279" a="1"/>
  <c r="O24" i="279" s="1"/>
  <c r="AA24" i="279" a="1"/>
  <c r="AA24" i="279" s="1"/>
  <c r="R24" i="279" a="1"/>
  <c r="R24" i="279" s="1"/>
  <c r="Q24" i="279" a="1"/>
  <c r="Q24" i="279" s="1"/>
  <c r="P24" i="279" a="1"/>
  <c r="P24" i="279" s="1"/>
  <c r="X12" i="324" a="1"/>
  <c r="X12" i="324" s="1"/>
  <c r="W12" i="324" a="1"/>
  <c r="W12" i="324" s="1"/>
  <c r="W26" i="324" a="1"/>
  <c r="W26" i="324" s="1"/>
  <c r="O24" i="324" a="1"/>
  <c r="O24" i="324" s="1"/>
  <c r="N24" i="324" a="1"/>
  <c r="N24" i="324" s="1"/>
  <c r="D24" i="324" a="1"/>
  <c r="D24" i="324" s="1"/>
  <c r="AH24" i="324" a="1"/>
  <c r="AH24" i="324" s="1"/>
  <c r="Q24" i="324" a="1"/>
  <c r="Q24" i="324" s="1"/>
  <c r="P24" i="324" a="1"/>
  <c r="P24" i="324" s="1"/>
  <c r="N24" i="322" a="1"/>
  <c r="N24" i="322" s="1"/>
  <c r="AC24" i="322" a="1"/>
  <c r="AC24" i="322" s="1"/>
  <c r="I24" i="281" a="1"/>
  <c r="I24" i="281" s="1"/>
  <c r="AB12" i="281" a="1"/>
  <c r="AB12" i="281" s="1"/>
  <c r="W26" i="281" a="1"/>
  <c r="W26" i="281" s="1"/>
  <c r="AE24" i="281" a="1"/>
  <c r="AE24" i="281" s="1"/>
  <c r="AG24" i="281" a="1"/>
  <c r="AG24" i="281" s="1"/>
  <c r="X12" i="281" a="1"/>
  <c r="X12" i="281" s="1"/>
  <c r="W12" i="281" a="1"/>
  <c r="W12" i="281" s="1"/>
  <c r="I24" i="280" a="1"/>
  <c r="I24" i="280" s="1"/>
  <c r="AD24" i="280" a="1"/>
  <c r="AD24" i="280" s="1"/>
  <c r="AA12" i="280" a="1"/>
  <c r="AA12" i="280" s="1"/>
  <c r="X12" i="280" a="1"/>
  <c r="X12" i="280" s="1"/>
  <c r="V24" i="307" a="1"/>
  <c r="V24" i="307" s="1"/>
  <c r="S24" i="307" a="1"/>
  <c r="S24" i="307" s="1"/>
  <c r="M4" i="307" a="1"/>
  <c r="M4" i="307" s="1"/>
  <c r="H32" i="307" s="1"/>
  <c r="AE12" i="307" a="1"/>
  <c r="AE12" i="307" s="1"/>
  <c r="AG24" i="307" a="1"/>
  <c r="AG24" i="307" s="1"/>
  <c r="J24" i="307" a="1"/>
  <c r="J24" i="307" s="1"/>
  <c r="AD12" i="307" a="1"/>
  <c r="AD12" i="307" s="1"/>
  <c r="AF24" i="307" a="1"/>
  <c r="AF24" i="307" s="1"/>
  <c r="H24" i="307" a="1"/>
  <c r="H24" i="307" s="1"/>
  <c r="AB12" i="307" a="1"/>
  <c r="AB12" i="307" s="1"/>
  <c r="AE24" i="307" a="1"/>
  <c r="AE24" i="307" s="1"/>
  <c r="AA24" i="307" a="1"/>
  <c r="AA24" i="307" s="1"/>
  <c r="E24" i="307" a="1"/>
  <c r="E24" i="307" s="1"/>
  <c r="X12" i="307" a="1"/>
  <c r="X12" i="307" s="1"/>
  <c r="X24" i="307" a="1"/>
  <c r="X24" i="307" s="1"/>
  <c r="X4" i="307" a="1"/>
  <c r="X4" i="307" s="1"/>
  <c r="AD24" i="307" a="1"/>
  <c r="AD24" i="307" s="1"/>
  <c r="G24" i="307" a="1"/>
  <c r="G24" i="307" s="1"/>
  <c r="Y12" i="307" a="1"/>
  <c r="Y12" i="307" s="1"/>
  <c r="Z24" i="307" a="1"/>
  <c r="Z24" i="307" s="1"/>
  <c r="N24" i="307" a="1"/>
  <c r="N24" i="307" s="1"/>
  <c r="M24" i="307" a="1"/>
  <c r="M24" i="307" s="1"/>
  <c r="AH12" i="307" a="1"/>
  <c r="AH12" i="307" s="1"/>
  <c r="W26" i="307" a="1"/>
  <c r="W26" i="307" s="1"/>
  <c r="AG12" i="307" a="1"/>
  <c r="AG12" i="307" s="1"/>
  <c r="T24" i="319" a="1"/>
  <c r="T24" i="319" s="1"/>
  <c r="AG12" i="319" a="1"/>
  <c r="AG12" i="319" s="1"/>
  <c r="AF24" i="319" a="1"/>
  <c r="AF24" i="319" s="1"/>
  <c r="AE24" i="319" a="1"/>
  <c r="AE24" i="319" s="1"/>
  <c r="AA24" i="319" a="1"/>
  <c r="AA24" i="319" s="1"/>
  <c r="Z24" i="319" a="1"/>
  <c r="Z24" i="319" s="1"/>
  <c r="U24" i="319" a="1"/>
  <c r="U24" i="319" s="1"/>
  <c r="AE12" i="319" a="1"/>
  <c r="AE12" i="319" s="1"/>
  <c r="AD12" i="319" a="1"/>
  <c r="AD12" i="319" s="1"/>
  <c r="V24" i="319" a="1"/>
  <c r="V24" i="319" s="1"/>
  <c r="G24" i="319" a="1"/>
  <c r="G24" i="319" s="1"/>
  <c r="F24" i="319" a="1"/>
  <c r="F24" i="319" s="1"/>
  <c r="AA24" i="282" a="1"/>
  <c r="AA24" i="282" s="1"/>
  <c r="S24" i="282" a="1"/>
  <c r="S24" i="282" s="1"/>
  <c r="AE12" i="282" a="1"/>
  <c r="AE12" i="282" s="1"/>
  <c r="L24" i="282" a="1"/>
  <c r="L24" i="282" s="1"/>
  <c r="Y24" i="282" a="1"/>
  <c r="Y24" i="282" s="1"/>
  <c r="AG12" i="282" a="1"/>
  <c r="AG12" i="282" s="1"/>
  <c r="D24" i="292" a="1"/>
  <c r="D24" i="292" s="1"/>
  <c r="X24" i="292" a="1"/>
  <c r="X24" i="292" s="1"/>
  <c r="G24" i="292" a="1"/>
  <c r="G24" i="292" s="1"/>
  <c r="AF24" i="323" a="1"/>
  <c r="AF24" i="323" s="1"/>
  <c r="AA12" i="323" a="1"/>
  <c r="AA12" i="323" s="1"/>
  <c r="AC24" i="323" a="1"/>
  <c r="AC24" i="323" s="1"/>
  <c r="K24" i="323" a="1"/>
  <c r="K24" i="323" s="1"/>
  <c r="E24" i="323" a="1"/>
  <c r="E24" i="323" s="1"/>
  <c r="AB12" i="323" a="1"/>
  <c r="AB12" i="323" s="1"/>
  <c r="Z12" i="323" a="1"/>
  <c r="Z12" i="323" s="1"/>
  <c r="AH24" i="323" a="1"/>
  <c r="AH24" i="323" s="1"/>
  <c r="X12" i="298" a="1"/>
  <c r="X12" i="298" s="1"/>
  <c r="W12" i="298" a="1"/>
  <c r="W12" i="298" s="1"/>
  <c r="W24" i="298" a="1"/>
  <c r="W24" i="298" s="1"/>
  <c r="V24" i="298" a="1"/>
  <c r="V24" i="298" s="1"/>
  <c r="M24" i="298" a="1"/>
  <c r="M24" i="298" s="1"/>
  <c r="AB12" i="298" a="1"/>
  <c r="AB12" i="298" s="1"/>
  <c r="AC12" i="322" a="1"/>
  <c r="AC12" i="322" s="1"/>
  <c r="I24" i="322" a="1"/>
  <c r="I24" i="322" s="1"/>
  <c r="D24" i="322" a="1"/>
  <c r="D24" i="322" s="1"/>
  <c r="W12" i="280" a="1"/>
  <c r="W12" i="280" s="1"/>
  <c r="Q24" i="330" a="1"/>
  <c r="Q24" i="330" s="1"/>
  <c r="J24" i="330" a="1"/>
  <c r="J24" i="330" s="1"/>
  <c r="M4" i="330" a="1"/>
  <c r="M4" i="330" s="1"/>
  <c r="H32" i="330" s="1"/>
  <c r="AA24" i="330" a="1"/>
  <c r="AA24" i="330" s="1"/>
  <c r="AF24" i="330" a="1"/>
  <c r="AF24" i="330" s="1"/>
  <c r="AB24" i="330" a="1"/>
  <c r="AB24" i="330" s="1"/>
  <c r="R24" i="330" a="1"/>
  <c r="R24" i="330" s="1"/>
  <c r="AC12" i="330" a="1"/>
  <c r="AC12" i="330" s="1"/>
  <c r="Y24" i="294" a="1"/>
  <c r="Y24" i="294" s="1"/>
  <c r="U24" i="294" a="1"/>
  <c r="U24" i="294" s="1"/>
  <c r="AC24" i="294" a="1"/>
  <c r="AC24" i="294" s="1"/>
  <c r="AB24" i="294" a="1"/>
  <c r="AB24" i="294" s="1"/>
  <c r="O24" i="282" a="1"/>
  <c r="O24" i="282" s="1"/>
  <c r="Z12" i="319" a="1"/>
  <c r="Z12" i="319" s="1"/>
  <c r="G24" i="322" a="1"/>
  <c r="G24" i="322" s="1"/>
  <c r="Y24" i="341" a="1"/>
  <c r="Y24" i="341" s="1"/>
  <c r="W26" i="341" a="1"/>
  <c r="W26" i="341" s="1"/>
  <c r="I24" i="341" a="1"/>
  <c r="I24" i="341" s="1"/>
  <c r="H24" i="341" a="1"/>
  <c r="H24" i="341" s="1"/>
  <c r="Y12" i="341" a="1"/>
  <c r="Y12" i="341" s="1"/>
  <c r="X24" i="341" a="1"/>
  <c r="X24" i="341" s="1"/>
  <c r="W24" i="341" a="1"/>
  <c r="W24" i="341" s="1"/>
  <c r="U24" i="341" a="1"/>
  <c r="U24" i="341" s="1"/>
  <c r="W12" i="305" a="1"/>
  <c r="W12" i="305" s="1"/>
  <c r="AE24" i="305" a="1"/>
  <c r="AE24" i="305" s="1"/>
  <c r="G24" i="306" a="1"/>
  <c r="G24" i="306" s="1"/>
  <c r="E24" i="316" a="1"/>
  <c r="E24" i="316" s="1"/>
  <c r="Z24" i="336" a="1"/>
  <c r="Z24" i="336" s="1"/>
  <c r="X4" i="341" a="1"/>
  <c r="X4" i="341" s="1"/>
  <c r="E24" i="341" a="1"/>
  <c r="E24" i="341" s="1"/>
  <c r="P24" i="303" a="1"/>
  <c r="P24" i="303" s="1"/>
  <c r="X12" i="305" a="1"/>
  <c r="X12" i="305" s="1"/>
  <c r="G24" i="305" a="1"/>
  <c r="G24" i="305" s="1"/>
  <c r="AG24" i="305" a="1"/>
  <c r="AG24" i="305" s="1"/>
  <c r="H24" i="306" a="1"/>
  <c r="H24" i="306" s="1"/>
  <c r="I24" i="316" a="1"/>
  <c r="I24" i="316" s="1"/>
  <c r="AA24" i="336" a="1"/>
  <c r="AA24" i="336" s="1"/>
  <c r="M24" i="341" a="1"/>
  <c r="M24" i="341" s="1"/>
  <c r="Z12" i="305" a="1"/>
  <c r="Z12" i="305" s="1"/>
  <c r="I24" i="305" a="1"/>
  <c r="I24" i="305" s="1"/>
  <c r="X12" i="341" a="1"/>
  <c r="X12" i="341" s="1"/>
  <c r="O24" i="341" a="1"/>
  <c r="O24" i="341" s="1"/>
  <c r="U24" i="336" a="1"/>
  <c r="U24" i="336" s="1"/>
  <c r="AF12" i="336" a="1"/>
  <c r="AF12" i="336" s="1"/>
  <c r="S24" i="336" a="1"/>
  <c r="S24" i="336" s="1"/>
  <c r="AE12" i="336" a="1"/>
  <c r="AE12" i="336" s="1"/>
  <c r="AG24" i="336" a="1"/>
  <c r="AG24" i="336" s="1"/>
  <c r="Z12" i="341" a="1"/>
  <c r="Z12" i="341" s="1"/>
  <c r="Q24" i="341" a="1"/>
  <c r="Q24" i="341" s="1"/>
  <c r="R24" i="305" a="1"/>
  <c r="R24" i="305" s="1"/>
  <c r="I24" i="336" a="1"/>
  <c r="I24" i="336" s="1"/>
  <c r="Z24" i="337" a="1"/>
  <c r="Z24" i="337" s="1"/>
  <c r="AF24" i="341" a="1"/>
  <c r="AF24" i="341" s="1"/>
  <c r="M4" i="289" a="1"/>
  <c r="M4" i="289" s="1"/>
  <c r="H32" i="289" s="1"/>
  <c r="J24" i="289" a="1"/>
  <c r="J24" i="289" s="1"/>
  <c r="AG24" i="303" a="1"/>
  <c r="AG24" i="303" s="1"/>
  <c r="S24" i="305" a="1"/>
  <c r="S24" i="305" s="1"/>
  <c r="AG12" i="335" a="1"/>
  <c r="AG12" i="335" s="1"/>
  <c r="AC24" i="335" a="1"/>
  <c r="AC24" i="335" s="1"/>
  <c r="J24" i="336" a="1"/>
  <c r="J24" i="336" s="1"/>
  <c r="M4" i="337" a="1"/>
  <c r="M4" i="337" s="1"/>
  <c r="H32" i="337" s="1"/>
  <c r="AG24" i="341" a="1"/>
  <c r="AG24" i="341" s="1"/>
  <c r="AG12" i="306" a="1"/>
  <c r="AG12" i="306" s="1"/>
  <c r="AE12" i="306" a="1"/>
  <c r="AE12" i="306" s="1"/>
  <c r="AC12" i="341" a="1"/>
  <c r="AC12" i="341" s="1"/>
  <c r="X4" i="289" a="1"/>
  <c r="X4" i="289" s="1"/>
  <c r="Z24" i="305" a="1"/>
  <c r="Z24" i="305" s="1"/>
  <c r="W12" i="336" a="1"/>
  <c r="W12" i="336" s="1"/>
  <c r="P24" i="336" a="1"/>
  <c r="P24" i="336" s="1"/>
  <c r="AH24" i="341" a="1"/>
  <c r="AH24" i="341" s="1"/>
  <c r="K24" i="289" a="1"/>
  <c r="K24" i="289" s="1"/>
  <c r="I24" i="289" a="1"/>
  <c r="I24" i="289" s="1"/>
  <c r="W12" i="289" a="1"/>
  <c r="W12" i="289" s="1"/>
  <c r="R24" i="289" a="1"/>
  <c r="R24" i="289" s="1"/>
  <c r="AD24" i="335" a="1"/>
  <c r="AD24" i="335" s="1"/>
  <c r="Y12" i="336" a="1"/>
  <c r="Y12" i="336" s="1"/>
  <c r="Q24" i="336" a="1"/>
  <c r="Q24" i="336" s="1"/>
  <c r="Z12" i="337" a="1"/>
  <c r="Z12" i="337" s="1"/>
  <c r="Z12" i="336" a="1"/>
  <c r="Z12" i="336" s="1"/>
  <c r="W24" i="336" a="1"/>
  <c r="W24" i="336" s="1"/>
  <c r="V24" i="305" a="1"/>
  <c r="V24" i="305" s="1"/>
  <c r="U24" i="305" a="1"/>
  <c r="U24" i="305" s="1"/>
  <c r="AE12" i="289" a="1"/>
  <c r="AE12" i="289" s="1"/>
  <c r="AB24" i="289" a="1"/>
  <c r="AB24" i="289" s="1"/>
  <c r="I24" i="303" a="1"/>
  <c r="I24" i="303" s="1"/>
  <c r="M4" i="305" a="1"/>
  <c r="M4" i="305" s="1"/>
  <c r="H32" i="305" s="1"/>
  <c r="AD24" i="305" a="1"/>
  <c r="AD24" i="305" s="1"/>
  <c r="AA12" i="336" a="1"/>
  <c r="AA12" i="336" s="1"/>
  <c r="M4" i="292" a="1"/>
  <c r="M4" i="292" s="1"/>
  <c r="H32" i="292" s="1"/>
  <c r="X4" i="281" a="1"/>
  <c r="X4" i="281" s="1"/>
  <c r="Y12" i="292" a="1"/>
  <c r="Y12" i="292" s="1"/>
  <c r="Z12" i="292" a="1"/>
  <c r="Z12" i="292" s="1"/>
  <c r="AA12" i="292" a="1"/>
  <c r="AA12" i="292" s="1"/>
  <c r="AD24" i="292" a="1"/>
  <c r="AD24" i="292" s="1"/>
  <c r="V24" i="292" a="1"/>
  <c r="V24" i="292" s="1"/>
  <c r="N24" i="292" a="1"/>
  <c r="N24" i="292" s="1"/>
  <c r="F24" i="292" a="1"/>
  <c r="F24" i="292" s="1"/>
  <c r="AE12" i="292" a="1"/>
  <c r="AE12" i="292" s="1"/>
  <c r="W12" i="292" a="1"/>
  <c r="W12" i="292" s="1"/>
  <c r="AH24" i="292" a="1"/>
  <c r="AH24" i="292" s="1"/>
  <c r="Q24" i="292" a="1"/>
  <c r="Q24" i="292" s="1"/>
  <c r="AB24" i="292" a="1"/>
  <c r="AB24" i="292" s="1"/>
  <c r="S24" i="292" a="1"/>
  <c r="S24" i="292" s="1"/>
  <c r="J24" i="292" a="1"/>
  <c r="J24" i="292" s="1"/>
  <c r="AC12" i="292" a="1"/>
  <c r="AC12" i="292" s="1"/>
  <c r="AA24" i="292" a="1"/>
  <c r="AA24" i="292" s="1"/>
  <c r="R24" i="292" a="1"/>
  <c r="R24" i="292" s="1"/>
  <c r="I24" i="292" a="1"/>
  <c r="I24" i="292" s="1"/>
  <c r="AB12" i="292" a="1"/>
  <c r="AB12" i="292" s="1"/>
  <c r="H24" i="292" a="1"/>
  <c r="H24" i="292" s="1"/>
  <c r="Z24" i="292" a="1"/>
  <c r="Z24" i="292" s="1"/>
  <c r="M24" i="292" a="1"/>
  <c r="M24" i="292" s="1"/>
  <c r="W26" i="292" a="1"/>
  <c r="W26" i="292" s="1"/>
  <c r="AD12" i="292" a="1"/>
  <c r="AD12" i="292" s="1"/>
  <c r="AE24" i="292" a="1"/>
  <c r="AE24" i="292" s="1"/>
  <c r="AC24" i="292" a="1"/>
  <c r="AC24" i="292" s="1"/>
  <c r="AH12" i="292" a="1"/>
  <c r="AH12" i="292" s="1"/>
  <c r="AF12" i="292" a="1"/>
  <c r="AF12" i="292" s="1"/>
  <c r="T24" i="292" a="1"/>
  <c r="T24" i="292" s="1"/>
  <c r="X4" i="292" a="1"/>
  <c r="X4" i="292" s="1"/>
  <c r="P24" i="292" a="1"/>
  <c r="P24" i="292" s="1"/>
  <c r="W24" i="292" a="1"/>
  <c r="W24" i="292" s="1"/>
  <c r="U24" i="292" a="1"/>
  <c r="U24" i="292" s="1"/>
  <c r="O24" i="292" a="1"/>
  <c r="O24" i="292" s="1"/>
  <c r="L24" i="292" a="1"/>
  <c r="L24" i="292" s="1"/>
  <c r="AG12" i="292" a="1"/>
  <c r="AG12" i="292" s="1"/>
  <c r="K24" i="292" a="1"/>
  <c r="K24" i="292" s="1"/>
  <c r="AG24" i="292" a="1"/>
  <c r="AG24" i="292" s="1"/>
  <c r="Y24" i="292" a="1"/>
  <c r="Y24" i="292" s="1"/>
  <c r="G24" i="280" a="1"/>
  <c r="G24" i="280" s="1"/>
  <c r="AF24" i="292" a="1"/>
  <c r="AF24" i="292" s="1"/>
  <c r="X12" i="292" a="1"/>
  <c r="X12" i="292" s="1"/>
  <c r="AF24" i="280" a="1"/>
  <c r="AF24" i="280" s="1"/>
  <c r="X24" i="280" a="1"/>
  <c r="X24" i="280" s="1"/>
  <c r="P24" i="280" a="1"/>
  <c r="P24" i="280" s="1"/>
  <c r="H24" i="280" a="1"/>
  <c r="H24" i="280" s="1"/>
  <c r="AG12" i="280" a="1"/>
  <c r="AG12" i="280" s="1"/>
  <c r="Y12" i="280" a="1"/>
  <c r="Y12" i="280" s="1"/>
  <c r="AC24" i="280" a="1"/>
  <c r="AC24" i="280" s="1"/>
  <c r="L24" i="280" a="1"/>
  <c r="L24" i="280" s="1"/>
  <c r="Z12" i="280" a="1"/>
  <c r="Z12" i="280" s="1"/>
  <c r="T24" i="280" a="1"/>
  <c r="T24" i="280" s="1"/>
  <c r="AH12" i="280" a="1"/>
  <c r="AH12" i="280" s="1"/>
  <c r="AB24" i="280" a="1"/>
  <c r="AB24" i="280" s="1"/>
  <c r="K24" i="280" a="1"/>
  <c r="K24" i="280" s="1"/>
  <c r="AH24" i="280" a="1"/>
  <c r="AH24" i="280" s="1"/>
  <c r="X4" i="280" a="1"/>
  <c r="X4" i="280" s="1"/>
  <c r="AG24" i="280" a="1"/>
  <c r="AG24" i="280" s="1"/>
  <c r="M4" i="280" a="1"/>
  <c r="M4" i="280" s="1"/>
  <c r="H32" i="280" s="1"/>
  <c r="W24" i="280" a="1"/>
  <c r="W24" i="280" s="1"/>
  <c r="J24" i="280" a="1"/>
  <c r="J24" i="280" s="1"/>
  <c r="AF12" i="280" a="1"/>
  <c r="AF12" i="280" s="1"/>
  <c r="V24" i="280" a="1"/>
  <c r="V24" i="280" s="1"/>
  <c r="R24" i="280" a="1"/>
  <c r="R24" i="280" s="1"/>
  <c r="E24" i="280" a="1"/>
  <c r="E24" i="280" s="1"/>
  <c r="Z24" i="280" a="1"/>
  <c r="Z24" i="280" s="1"/>
  <c r="AB12" i="280" a="1"/>
  <c r="AB12" i="280" s="1"/>
  <c r="U24" i="280" a="1"/>
  <c r="U24" i="280" s="1"/>
  <c r="D24" i="280" a="1"/>
  <c r="D24" i="280" s="1"/>
  <c r="S24" i="280" a="1"/>
  <c r="S24" i="280" s="1"/>
  <c r="W26" i="280" a="1"/>
  <c r="W26" i="280" s="1"/>
  <c r="Q24" i="280" a="1"/>
  <c r="Q24" i="280" s="1"/>
  <c r="AE12" i="280" a="1"/>
  <c r="AE12" i="280" s="1"/>
  <c r="AD12" i="280" a="1"/>
  <c r="AD12" i="280" s="1"/>
  <c r="O24" i="280" a="1"/>
  <c r="O24" i="280" s="1"/>
  <c r="AC12" i="280" a="1"/>
  <c r="AC12" i="280" s="1"/>
  <c r="AE24" i="280" a="1"/>
  <c r="AE24" i="280" s="1"/>
  <c r="F24" i="280" a="1"/>
  <c r="F24" i="280" s="1"/>
  <c r="AH24" i="281" a="1"/>
  <c r="AH24" i="281" s="1"/>
  <c r="Z24" i="281" a="1"/>
  <c r="Z24" i="281" s="1"/>
  <c r="R24" i="281" a="1"/>
  <c r="R24" i="281" s="1"/>
  <c r="J24" i="281" a="1"/>
  <c r="J24" i="281" s="1"/>
  <c r="AA12" i="281" a="1"/>
  <c r="AA12" i="281" s="1"/>
  <c r="U24" i="281" a="1"/>
  <c r="U24" i="281" s="1"/>
  <c r="D24" i="281" a="1"/>
  <c r="D24" i="281" s="1"/>
  <c r="Z12" i="281" a="1"/>
  <c r="Z12" i="281" s="1"/>
  <c r="AC24" i="281" a="1"/>
  <c r="AC24" i="281" s="1"/>
  <c r="L24" i="281" a="1"/>
  <c r="L24" i="281" s="1"/>
  <c r="AH12" i="281" a="1"/>
  <c r="AH12" i="281" s="1"/>
  <c r="T24" i="281" a="1"/>
  <c r="T24" i="281" s="1"/>
  <c r="Y12" i="281" a="1"/>
  <c r="Y12" i="281" s="1"/>
  <c r="P24" i="281" a="1"/>
  <c r="P24" i="281" s="1"/>
  <c r="AF12" i="281" a="1"/>
  <c r="AF12" i="281" s="1"/>
  <c r="Q24" i="281" a="1"/>
  <c r="Q24" i="281" s="1"/>
  <c r="E24" i="281" a="1"/>
  <c r="E24" i="281" s="1"/>
  <c r="AD24" i="281" a="1"/>
  <c r="AD24" i="281" s="1"/>
  <c r="O24" i="281" a="1"/>
  <c r="O24" i="281" s="1"/>
  <c r="M24" i="281" a="1"/>
  <c r="M24" i="281" s="1"/>
  <c r="X24" i="281" a="1"/>
  <c r="X24" i="281" s="1"/>
  <c r="S24" i="281" a="1"/>
  <c r="S24" i="281" s="1"/>
  <c r="M4" i="281" a="1"/>
  <c r="M4" i="281" s="1"/>
  <c r="H32" i="281" s="1"/>
  <c r="AF24" i="281" a="1"/>
  <c r="AF24" i="281" s="1"/>
  <c r="N24" i="281" a="1"/>
  <c r="N24" i="281" s="1"/>
  <c r="AE12" i="281" a="1"/>
  <c r="AE12" i="281" s="1"/>
  <c r="AA24" i="281" a="1"/>
  <c r="AA24" i="281" s="1"/>
  <c r="H24" i="281" a="1"/>
  <c r="H24" i="281" s="1"/>
  <c r="Y24" i="281" a="1"/>
  <c r="Y24" i="281" s="1"/>
  <c r="G24" i="281" a="1"/>
  <c r="G24" i="281" s="1"/>
  <c r="W24" i="281" a="1"/>
  <c r="W24" i="281" s="1"/>
  <c r="AG12" i="281" a="1"/>
  <c r="AG12" i="281" s="1"/>
  <c r="F24" i="281" a="1"/>
  <c r="F24" i="281" s="1"/>
  <c r="V24" i="281" a="1"/>
  <c r="V24" i="281" s="1"/>
  <c r="AD12" i="281" a="1"/>
  <c r="AD12" i="281" s="1"/>
  <c r="AC12" i="281" a="1"/>
  <c r="AC12" i="281" s="1"/>
  <c r="M24" i="280" a="1"/>
  <c r="M24" i="280" s="1"/>
  <c r="N24" i="280" a="1"/>
  <c r="N24" i="280" s="1"/>
  <c r="K24" i="281" a="1"/>
  <c r="K24" i="281" s="1"/>
  <c r="E24" i="292" a="1"/>
  <c r="E24" i="292" s="1"/>
  <c r="Y24" i="280" a="1"/>
  <c r="Y24" i="280" s="1"/>
  <c r="AA24" i="280" a="1"/>
  <c r="AA24" i="280" s="1"/>
  <c r="AB24" i="281" a="1"/>
  <c r="AB24" i="281" s="1"/>
  <c r="AH24" i="298" a="1"/>
  <c r="AH24" i="298" s="1"/>
  <c r="Z24" i="298" a="1"/>
  <c r="Z24" i="298" s="1"/>
  <c r="R24" i="298" a="1"/>
  <c r="R24" i="298" s="1"/>
  <c r="J24" i="298" a="1"/>
  <c r="J24" i="298" s="1"/>
  <c r="AA12" i="298" a="1"/>
  <c r="AA12" i="298" s="1"/>
  <c r="W26" i="298" a="1"/>
  <c r="W26" i="298" s="1"/>
  <c r="AA24" i="298" a="1"/>
  <c r="AA24" i="298" s="1"/>
  <c r="AF12" i="298" a="1"/>
  <c r="AF12" i="298" s="1"/>
  <c r="Z12" i="298" a="1"/>
  <c r="Z12" i="298" s="1"/>
  <c r="AH12" i="298" a="1"/>
  <c r="AH12" i="298" s="1"/>
  <c r="Y12" i="298" a="1"/>
  <c r="Y12" i="298" s="1"/>
  <c r="AG24" i="298" a="1"/>
  <c r="AG24" i="298" s="1"/>
  <c r="X24" i="298" a="1"/>
  <c r="X24" i="298" s="1"/>
  <c r="O24" i="298" a="1"/>
  <c r="O24" i="298" s="1"/>
  <c r="F24" i="298" a="1"/>
  <c r="F24" i="298" s="1"/>
  <c r="N24" i="298" a="1"/>
  <c r="N24" i="298" s="1"/>
  <c r="AF24" i="298" a="1"/>
  <c r="AF24" i="298" s="1"/>
  <c r="U24" i="298" a="1"/>
  <c r="U24" i="298" s="1"/>
  <c r="I24" i="298" a="1"/>
  <c r="I24" i="298" s="1"/>
  <c r="AC12" i="298" a="1"/>
  <c r="AC12" i="298" s="1"/>
  <c r="X4" i="298" a="1"/>
  <c r="X4" i="298" s="1"/>
  <c r="T24" i="298" a="1"/>
  <c r="T24" i="298" s="1"/>
  <c r="E24" i="298" a="1"/>
  <c r="E24" i="298" s="1"/>
  <c r="AD12" i="298" a="1"/>
  <c r="AD12" i="298" s="1"/>
  <c r="AE12" i="298" a="1"/>
  <c r="AE12" i="298" s="1"/>
  <c r="M4" i="298" a="1"/>
  <c r="M4" i="298" s="1"/>
  <c r="H32" i="298" s="1"/>
  <c r="AB24" i="298" a="1"/>
  <c r="AB24" i="298" s="1"/>
  <c r="H24" i="298" a="1"/>
  <c r="H24" i="298" s="1"/>
  <c r="S24" i="298" a="1"/>
  <c r="S24" i="298" s="1"/>
  <c r="Q24" i="298" a="1"/>
  <c r="Q24" i="298" s="1"/>
  <c r="AG12" i="298" a="1"/>
  <c r="AG12" i="298" s="1"/>
  <c r="P24" i="298" a="1"/>
  <c r="P24" i="298" s="1"/>
  <c r="AE24" i="298" a="1"/>
  <c r="AE24" i="298" s="1"/>
  <c r="D24" i="298" a="1"/>
  <c r="D24" i="298" s="1"/>
  <c r="Y24" i="298" a="1"/>
  <c r="Y24" i="298" s="1"/>
  <c r="AH24" i="294" a="1"/>
  <c r="AH24" i="294" s="1"/>
  <c r="Z24" i="294" a="1"/>
  <c r="Z24" i="294" s="1"/>
  <c r="R24" i="294" a="1"/>
  <c r="R24" i="294" s="1"/>
  <c r="J24" i="294" a="1"/>
  <c r="J24" i="294" s="1"/>
  <c r="AA12" i="294" a="1"/>
  <c r="AA12" i="294" s="1"/>
  <c r="Q24" i="294" a="1"/>
  <c r="Q24" i="294" s="1"/>
  <c r="AE12" i="294" a="1"/>
  <c r="AE12" i="294" s="1"/>
  <c r="AH12" i="294" a="1"/>
  <c r="AH12" i="294" s="1"/>
  <c r="Y12" i="294" a="1"/>
  <c r="Y12" i="294" s="1"/>
  <c r="AF24" i="294" a="1"/>
  <c r="AF24" i="294" s="1"/>
  <c r="W24" i="294" a="1"/>
  <c r="W24" i="294" s="1"/>
  <c r="N24" i="294" a="1"/>
  <c r="N24" i="294" s="1"/>
  <c r="AG12" i="294" a="1"/>
  <c r="AG12" i="294" s="1"/>
  <c r="X12" i="294" a="1"/>
  <c r="X12" i="294" s="1"/>
  <c r="E24" i="294" a="1"/>
  <c r="E24" i="294" s="1"/>
  <c r="O24" i="294" a="1"/>
  <c r="O24" i="294" s="1"/>
  <c r="W12" i="294" a="1"/>
  <c r="W12" i="294" s="1"/>
  <c r="AE24" i="294" a="1"/>
  <c r="AE24" i="294" s="1"/>
  <c r="T24" i="294" a="1"/>
  <c r="T24" i="294" s="1"/>
  <c r="H24" i="294" a="1"/>
  <c r="H24" i="294" s="1"/>
  <c r="M4" i="294" a="1"/>
  <c r="M4" i="294" s="1"/>
  <c r="H32" i="294" s="1"/>
  <c r="AD24" i="294" a="1"/>
  <c r="AD24" i="294" s="1"/>
  <c r="S24" i="294" a="1"/>
  <c r="S24" i="294" s="1"/>
  <c r="G24" i="294" a="1"/>
  <c r="G24" i="294" s="1"/>
  <c r="Z12" i="294" a="1"/>
  <c r="Z12" i="294" s="1"/>
  <c r="W26" i="294" a="1"/>
  <c r="W26" i="294" s="1"/>
  <c r="F24" i="294" a="1"/>
  <c r="F24" i="294" s="1"/>
  <c r="AA24" i="294" a="1"/>
  <c r="AA24" i="294" s="1"/>
  <c r="I24" i="294" a="1"/>
  <c r="I24" i="294" s="1"/>
  <c r="X24" i="294" a="1"/>
  <c r="X24" i="294" s="1"/>
  <c r="V24" i="294" a="1"/>
  <c r="V24" i="294" s="1"/>
  <c r="D24" i="294" a="1"/>
  <c r="D24" i="294" s="1"/>
  <c r="M24" i="294" a="1"/>
  <c r="M24" i="294" s="1"/>
  <c r="AB12" i="294" a="1"/>
  <c r="AB12" i="294" s="1"/>
  <c r="AC12" i="294" a="1"/>
  <c r="AC12" i="294" s="1"/>
  <c r="AC24" i="298" a="1"/>
  <c r="AC24" i="298" s="1"/>
  <c r="X4" i="294" a="1"/>
  <c r="X4" i="294" s="1"/>
  <c r="AD12" i="294" a="1"/>
  <c r="AD12" i="294" s="1"/>
  <c r="AG24" i="294" a="1"/>
  <c r="AG24" i="294" s="1"/>
  <c r="AD24" i="298" a="1"/>
  <c r="AD24" i="298" s="1"/>
  <c r="AD24" i="279" a="1"/>
  <c r="AD24" i="279" s="1"/>
  <c r="V24" i="279" a="1"/>
  <c r="V24" i="279" s="1"/>
  <c r="N24" i="279" a="1"/>
  <c r="N24" i="279" s="1"/>
  <c r="F24" i="279" a="1"/>
  <c r="F24" i="279" s="1"/>
  <c r="AE12" i="279" a="1"/>
  <c r="AE12" i="279" s="1"/>
  <c r="W12" i="279" a="1"/>
  <c r="W12" i="279" s="1"/>
  <c r="AC24" i="279" a="1"/>
  <c r="AC24" i="279" s="1"/>
  <c r="L24" i="279" a="1"/>
  <c r="L24" i="279" s="1"/>
  <c r="Z12" i="279" a="1"/>
  <c r="Z12" i="279" s="1"/>
  <c r="T24" i="279" a="1"/>
  <c r="T24" i="279" s="1"/>
  <c r="AH12" i="279" a="1"/>
  <c r="AH12" i="279" s="1"/>
  <c r="AB24" i="279" a="1"/>
  <c r="AB24" i="279" s="1"/>
  <c r="K24" i="279" a="1"/>
  <c r="K24" i="279" s="1"/>
  <c r="Y12" i="279" a="1"/>
  <c r="Y12" i="279" s="1"/>
  <c r="U24" i="279" a="1"/>
  <c r="U24" i="279" s="1"/>
  <c r="AF24" i="279" a="1"/>
  <c r="AF24" i="279" s="1"/>
  <c r="AH24" i="279" a="1"/>
  <c r="AH24" i="279" s="1"/>
  <c r="H24" i="279" a="1"/>
  <c r="H24" i="279" s="1"/>
  <c r="AG24" i="279" a="1"/>
  <c r="AG24" i="279" s="1"/>
  <c r="E24" i="279" a="1"/>
  <c r="E24" i="279" s="1"/>
  <c r="M4" i="279" a="1"/>
  <c r="M4" i="279" s="1"/>
  <c r="H32" i="279" s="1"/>
  <c r="Z24" i="279" a="1"/>
  <c r="Z24" i="279" s="1"/>
  <c r="M24" i="279" a="1"/>
  <c r="M24" i="279" s="1"/>
  <c r="AG12" i="279" a="1"/>
  <c r="AG12" i="279" s="1"/>
  <c r="X24" i="279" a="1"/>
  <c r="X24" i="279" s="1"/>
  <c r="AD12" i="279" a="1"/>
  <c r="AD12" i="279" s="1"/>
  <c r="D24" i="279" a="1"/>
  <c r="D24" i="279" s="1"/>
  <c r="S24" i="279" a="1"/>
  <c r="S24" i="279" s="1"/>
  <c r="AH24" i="306" a="1"/>
  <c r="AH24" i="306" s="1"/>
  <c r="Z24" i="306" a="1"/>
  <c r="Z24" i="306" s="1"/>
  <c r="R24" i="306" a="1"/>
  <c r="R24" i="306" s="1"/>
  <c r="J24" i="306" a="1"/>
  <c r="J24" i="306" s="1"/>
  <c r="AA12" i="306" a="1"/>
  <c r="AA12" i="306" s="1"/>
  <c r="AC24" i="306" a="1"/>
  <c r="AC24" i="306" s="1"/>
  <c r="L24" i="306" a="1"/>
  <c r="L24" i="306" s="1"/>
  <c r="AH12" i="306" a="1"/>
  <c r="AH12" i="306" s="1"/>
  <c r="T24" i="306" a="1"/>
  <c r="T24" i="306" s="1"/>
  <c r="Y12" i="306" a="1"/>
  <c r="Y12" i="306" s="1"/>
  <c r="AE24" i="306" a="1"/>
  <c r="AE24" i="306" s="1"/>
  <c r="K24" i="306" a="1"/>
  <c r="K24" i="306" s="1"/>
  <c r="AB12" i="306" a="1"/>
  <c r="AB12" i="306" s="1"/>
  <c r="U24" i="306" a="1"/>
  <c r="U24" i="306" s="1"/>
  <c r="AD24" i="306" a="1"/>
  <c r="AD24" i="306" s="1"/>
  <c r="P24" i="306" a="1"/>
  <c r="P24" i="306" s="1"/>
  <c r="E24" i="306" a="1"/>
  <c r="E24" i="306" s="1"/>
  <c r="AD12" i="306" a="1"/>
  <c r="AD12" i="306" s="1"/>
  <c r="Y24" i="306" a="1"/>
  <c r="Y24" i="306" s="1"/>
  <c r="AC12" i="306" a="1"/>
  <c r="AC12" i="306" s="1"/>
  <c r="M24" i="306" a="1"/>
  <c r="M24" i="306" s="1"/>
  <c r="X24" i="306" a="1"/>
  <c r="X24" i="306" s="1"/>
  <c r="X12" i="306" a="1"/>
  <c r="X12" i="306" s="1"/>
  <c r="AG24" i="306" a="1"/>
  <c r="AG24" i="306" s="1"/>
  <c r="O24" i="306" a="1"/>
  <c r="O24" i="306" s="1"/>
  <c r="AF24" i="306" a="1"/>
  <c r="AF24" i="306" s="1"/>
  <c r="N24" i="306" a="1"/>
  <c r="N24" i="306" s="1"/>
  <c r="Z12" i="306" a="1"/>
  <c r="Z12" i="306" s="1"/>
  <c r="S24" i="306" a="1"/>
  <c r="S24" i="306" s="1"/>
  <c r="M4" i="306" a="1"/>
  <c r="M4" i="306" s="1"/>
  <c r="H32" i="306" s="1"/>
  <c r="W24" i="306" a="1"/>
  <c r="W24" i="306" s="1"/>
  <c r="D24" i="306" a="1"/>
  <c r="D24" i="306" s="1"/>
  <c r="W12" i="306" a="1"/>
  <c r="W12" i="306" s="1"/>
  <c r="V24" i="306" a="1"/>
  <c r="V24" i="306" s="1"/>
  <c r="Q24" i="306" a="1"/>
  <c r="Q24" i="306" s="1"/>
  <c r="F24" i="306" a="1"/>
  <c r="F24" i="306" s="1"/>
  <c r="X4" i="306" a="1"/>
  <c r="X4" i="306" s="1"/>
  <c r="AF12" i="306" a="1"/>
  <c r="AF12" i="306" s="1"/>
  <c r="W24" i="279" a="1"/>
  <c r="W24" i="279" s="1"/>
  <c r="K24" i="294" a="1"/>
  <c r="K24" i="294" s="1"/>
  <c r="X4" i="279" a="1"/>
  <c r="X4" i="279" s="1"/>
  <c r="G24" i="282" a="1"/>
  <c r="G24" i="282" s="1"/>
  <c r="AF12" i="294" a="1"/>
  <c r="AF12" i="294" s="1"/>
  <c r="AC24" i="276" a="1"/>
  <c r="AC24" i="276" s="1"/>
  <c r="U24" i="276" a="1"/>
  <c r="U24" i="276" s="1"/>
  <c r="M24" i="276" a="1"/>
  <c r="M24" i="276" s="1"/>
  <c r="E24" i="276" a="1"/>
  <c r="E24" i="276" s="1"/>
  <c r="AD12" i="276" a="1"/>
  <c r="AD12" i="276" s="1"/>
  <c r="AB24" i="276" a="1"/>
  <c r="AB24" i="276" s="1"/>
  <c r="T24" i="276" a="1"/>
  <c r="T24" i="276" s="1"/>
  <c r="L24" i="276" a="1"/>
  <c r="L24" i="276" s="1"/>
  <c r="D24" i="276" a="1"/>
  <c r="D24" i="276" s="1"/>
  <c r="AC12" i="276" a="1"/>
  <c r="AC12" i="276" s="1"/>
  <c r="Y24" i="276" a="1"/>
  <c r="Y24" i="276" s="1"/>
  <c r="F24" i="276" a="1"/>
  <c r="F24" i="276" s="1"/>
  <c r="AG12" i="276" a="1"/>
  <c r="AG12" i="276" s="1"/>
  <c r="X24" i="276" a="1"/>
  <c r="X24" i="276" s="1"/>
  <c r="AF12" i="276" a="1"/>
  <c r="AF12" i="276" s="1"/>
  <c r="H24" i="276" a="1"/>
  <c r="H24" i="276" s="1"/>
  <c r="Z24" i="276" a="1"/>
  <c r="Z24" i="276" s="1"/>
  <c r="N24" i="276" a="1"/>
  <c r="N24" i="276" s="1"/>
  <c r="AG24" i="276" a="1"/>
  <c r="AG24" i="276" s="1"/>
  <c r="J24" i="276" a="1"/>
  <c r="J24" i="276" s="1"/>
  <c r="AH24" i="276" a="1"/>
  <c r="AH24" i="276" s="1"/>
  <c r="G24" i="276" a="1"/>
  <c r="G24" i="276" s="1"/>
  <c r="X4" i="276" a="1"/>
  <c r="X4" i="276" s="1"/>
  <c r="H24" i="282" a="1"/>
  <c r="H24" i="282" s="1"/>
  <c r="L24" i="294" a="1"/>
  <c r="L24" i="294" s="1"/>
  <c r="G24" i="298" a="1"/>
  <c r="G24" i="298" s="1"/>
  <c r="AA24" i="306" a="1"/>
  <c r="AA24" i="306" s="1"/>
  <c r="AB24" i="306" a="1"/>
  <c r="AB24" i="306" s="1"/>
  <c r="X12" i="279" a="1"/>
  <c r="X12" i="279" s="1"/>
  <c r="G24" i="279" a="1"/>
  <c r="G24" i="279" s="1"/>
  <c r="Y24" i="279" a="1"/>
  <c r="Y24" i="279" s="1"/>
  <c r="AH24" i="282" a="1"/>
  <c r="AH24" i="282" s="1"/>
  <c r="Z24" i="282" a="1"/>
  <c r="Z24" i="282" s="1"/>
  <c r="R24" i="282" a="1"/>
  <c r="R24" i="282" s="1"/>
  <c r="J24" i="282" a="1"/>
  <c r="J24" i="282" s="1"/>
  <c r="AE24" i="282" a="1"/>
  <c r="AE24" i="282" s="1"/>
  <c r="N24" i="282" a="1"/>
  <c r="N24" i="282" s="1"/>
  <c r="AC12" i="282" a="1"/>
  <c r="AC12" i="282" s="1"/>
  <c r="E24" i="282" a="1"/>
  <c r="E24" i="282" s="1"/>
  <c r="AA12" i="282" a="1"/>
  <c r="AA12" i="282" s="1"/>
  <c r="AF24" i="282" a="1"/>
  <c r="AF24" i="282" s="1"/>
  <c r="W24" i="282" a="1"/>
  <c r="W24" i="282" s="1"/>
  <c r="V24" i="282" a="1"/>
  <c r="V24" i="282" s="1"/>
  <c r="M24" i="282" a="1"/>
  <c r="M24" i="282" s="1"/>
  <c r="D24" i="282" a="1"/>
  <c r="D24" i="282" s="1"/>
  <c r="Z12" i="282" a="1"/>
  <c r="Z12" i="282" s="1"/>
  <c r="AC24" i="282" a="1"/>
  <c r="AC24" i="282" s="1"/>
  <c r="AB24" i="282" a="1"/>
  <c r="AB24" i="282" s="1"/>
  <c r="Q24" i="282" a="1"/>
  <c r="Q24" i="282" s="1"/>
  <c r="U24" i="282" a="1"/>
  <c r="U24" i="282" s="1"/>
  <c r="I24" i="282" a="1"/>
  <c r="I24" i="282" s="1"/>
  <c r="Y12" i="282" a="1"/>
  <c r="Y12" i="282" s="1"/>
  <c r="AD12" i="282" a="1"/>
  <c r="AD12" i="282" s="1"/>
  <c r="M4" i="282" a="1"/>
  <c r="M4" i="282" s="1"/>
  <c r="H32" i="282" s="1"/>
  <c r="W26" i="282" a="1"/>
  <c r="W26" i="282" s="1"/>
  <c r="T24" i="282" a="1"/>
  <c r="T24" i="282" s="1"/>
  <c r="F24" i="282" a="1"/>
  <c r="F24" i="282" s="1"/>
  <c r="AF12" i="282" a="1"/>
  <c r="AF12" i="282" s="1"/>
  <c r="AG24" i="282" a="1"/>
  <c r="AG24" i="282" s="1"/>
  <c r="AD24" i="282" a="1"/>
  <c r="AD24" i="282" s="1"/>
  <c r="P24" i="282" a="1"/>
  <c r="P24" i="282" s="1"/>
  <c r="AB12" i="282" a="1"/>
  <c r="AB12" i="282" s="1"/>
  <c r="X24" i="282" a="1"/>
  <c r="X24" i="282" s="1"/>
  <c r="P24" i="294" a="1"/>
  <c r="P24" i="294" s="1"/>
  <c r="K24" i="298" a="1"/>
  <c r="K24" i="298" s="1"/>
  <c r="I24" i="279" a="1"/>
  <c r="I24" i="279" s="1"/>
  <c r="X4" i="282" a="1"/>
  <c r="X4" i="282" s="1"/>
  <c r="W12" i="282" a="1"/>
  <c r="W12" i="282" s="1"/>
  <c r="AA12" i="279" a="1"/>
  <c r="AA12" i="279" s="1"/>
  <c r="J24" i="279" a="1"/>
  <c r="J24" i="279" s="1"/>
  <c r="X12" i="282" a="1"/>
  <c r="X12" i="282" s="1"/>
  <c r="K24" i="282" a="1"/>
  <c r="K24" i="282" s="1"/>
  <c r="AF24" i="289" a="1"/>
  <c r="AF24" i="289" s="1"/>
  <c r="X24" i="289" a="1"/>
  <c r="X24" i="289" s="1"/>
  <c r="P24" i="289" a="1"/>
  <c r="P24" i="289" s="1"/>
  <c r="H24" i="289" a="1"/>
  <c r="H24" i="289" s="1"/>
  <c r="AG12" i="289" a="1"/>
  <c r="AG12" i="289" s="1"/>
  <c r="Y12" i="289" a="1"/>
  <c r="Y12" i="289" s="1"/>
  <c r="AG24" i="289" a="1"/>
  <c r="AG24" i="289" s="1"/>
  <c r="G24" i="289" a="1"/>
  <c r="G24" i="289" s="1"/>
  <c r="Z12" i="289" a="1"/>
  <c r="Z12" i="289" s="1"/>
  <c r="W24" i="289" a="1"/>
  <c r="W24" i="289" s="1"/>
  <c r="E24" i="289" a="1"/>
  <c r="E24" i="289" s="1"/>
  <c r="N24" i="289" a="1"/>
  <c r="N24" i="289" s="1"/>
  <c r="AH12" i="289" a="1"/>
  <c r="AH12" i="289" s="1"/>
  <c r="Q24" i="289" a="1"/>
  <c r="Q24" i="289" s="1"/>
  <c r="D24" i="289" a="1"/>
  <c r="D24" i="289" s="1"/>
  <c r="AA24" i="289" a="1"/>
  <c r="AA24" i="289" s="1"/>
  <c r="O24" i="289" a="1"/>
  <c r="O24" i="289" s="1"/>
  <c r="Z24" i="289" a="1"/>
  <c r="Z24" i="289" s="1"/>
  <c r="AE24" i="289" a="1"/>
  <c r="AE24" i="289" s="1"/>
  <c r="V24" i="289" a="1"/>
  <c r="V24" i="289" s="1"/>
  <c r="AC12" i="289" a="1"/>
  <c r="AC12" i="289" s="1"/>
  <c r="AB12" i="289" a="1"/>
  <c r="AB12" i="289" s="1"/>
  <c r="W26" i="289" a="1"/>
  <c r="W26" i="289" s="1"/>
  <c r="T24" i="289" a="1"/>
  <c r="T24" i="289" s="1"/>
  <c r="F24" i="289" a="1"/>
  <c r="F24" i="289" s="1"/>
  <c r="AA12" i="289" a="1"/>
  <c r="AA12" i="289" s="1"/>
  <c r="S24" i="289" a="1"/>
  <c r="S24" i="289" s="1"/>
  <c r="M24" i="289" a="1"/>
  <c r="M24" i="289" s="1"/>
  <c r="X12" i="289" a="1"/>
  <c r="X12" i="289" s="1"/>
  <c r="Y24" i="289" a="1"/>
  <c r="Y24" i="289" s="1"/>
  <c r="L24" i="298" a="1"/>
  <c r="L24" i="298" s="1"/>
  <c r="W26" i="306" a="1"/>
  <c r="W26" i="306" s="1"/>
  <c r="AF24" i="309" a="1"/>
  <c r="AF24" i="309" s="1"/>
  <c r="X24" i="309" a="1"/>
  <c r="X24" i="309" s="1"/>
  <c r="P24" i="309" a="1"/>
  <c r="P24" i="309" s="1"/>
  <c r="H24" i="309" a="1"/>
  <c r="H24" i="309" s="1"/>
  <c r="AG12" i="309" a="1"/>
  <c r="AG12" i="309" s="1"/>
  <c r="Y12" i="309" a="1"/>
  <c r="Y12" i="309" s="1"/>
  <c r="U24" i="309" a="1"/>
  <c r="U24" i="309" s="1"/>
  <c r="D24" i="309" a="1"/>
  <c r="D24" i="309" s="1"/>
  <c r="AC24" i="309" a="1"/>
  <c r="AC24" i="309" s="1"/>
  <c r="L24" i="309" a="1"/>
  <c r="L24" i="309" s="1"/>
  <c r="Z12" i="309" a="1"/>
  <c r="Z12" i="309" s="1"/>
  <c r="N24" i="309" a="1"/>
  <c r="N24" i="309" s="1"/>
  <c r="AD12" i="309" a="1"/>
  <c r="AD12" i="309" s="1"/>
  <c r="AC12" i="309" a="1"/>
  <c r="AC12" i="309" s="1"/>
  <c r="AG24" i="309" a="1"/>
  <c r="AG24" i="309" s="1"/>
  <c r="W24" i="309" a="1"/>
  <c r="W24" i="309" s="1"/>
  <c r="M24" i="309" a="1"/>
  <c r="M24" i="309" s="1"/>
  <c r="O24" i="309" a="1"/>
  <c r="O24" i="309" s="1"/>
  <c r="Z24" i="309" a="1"/>
  <c r="Z24" i="309" s="1"/>
  <c r="AE12" i="309" a="1"/>
  <c r="AE12" i="309" s="1"/>
  <c r="V24" i="309" a="1"/>
  <c r="V24" i="309" s="1"/>
  <c r="I24" i="309" a="1"/>
  <c r="I24" i="309" s="1"/>
  <c r="T24" i="309" a="1"/>
  <c r="T24" i="309" s="1"/>
  <c r="AF12" i="309" a="1"/>
  <c r="AF12" i="309" s="1"/>
  <c r="G24" i="309" a="1"/>
  <c r="G24" i="309" s="1"/>
  <c r="M4" i="309" a="1"/>
  <c r="M4" i="309" s="1"/>
  <c r="H32" i="309" s="1"/>
  <c r="W12" i="309" a="1"/>
  <c r="W12" i="309" s="1"/>
  <c r="X4" i="309" a="1"/>
  <c r="X4" i="309" s="1"/>
  <c r="AE24" i="309" a="1"/>
  <c r="AE24" i="309" s="1"/>
  <c r="AB24" i="309" a="1"/>
  <c r="AB24" i="309" s="1"/>
  <c r="AH12" i="309" a="1"/>
  <c r="AH12" i="309" s="1"/>
  <c r="F24" i="309" a="1"/>
  <c r="F24" i="309" s="1"/>
  <c r="AA24" i="309" a="1"/>
  <c r="AA24" i="309" s="1"/>
  <c r="E24" i="309" a="1"/>
  <c r="E24" i="309" s="1"/>
  <c r="Y24" i="309" a="1"/>
  <c r="Y24" i="309" s="1"/>
  <c r="R24" i="309" a="1"/>
  <c r="R24" i="309" s="1"/>
  <c r="AH24" i="309" a="1"/>
  <c r="AH24" i="309" s="1"/>
  <c r="AB12" i="309" a="1"/>
  <c r="AB12" i="309" s="1"/>
  <c r="AD24" i="309" a="1"/>
  <c r="AD24" i="309" s="1"/>
  <c r="AA12" i="309" a="1"/>
  <c r="AA12" i="309" s="1"/>
  <c r="S24" i="309" a="1"/>
  <c r="S24" i="309" s="1"/>
  <c r="X12" i="309" a="1"/>
  <c r="X12" i="309" s="1"/>
  <c r="AB24" i="303" a="1"/>
  <c r="AB24" i="303" s="1"/>
  <c r="T24" i="303" a="1"/>
  <c r="T24" i="303" s="1"/>
  <c r="L24" i="303" a="1"/>
  <c r="L24" i="303" s="1"/>
  <c r="D24" i="303" a="1"/>
  <c r="D24" i="303" s="1"/>
  <c r="AC12" i="303" a="1"/>
  <c r="AC12" i="303" s="1"/>
  <c r="K24" i="303" a="1"/>
  <c r="K24" i="303" s="1"/>
  <c r="AH12" i="303" a="1"/>
  <c r="AH12" i="303" s="1"/>
  <c r="S24" i="303" a="1"/>
  <c r="S24" i="303" s="1"/>
  <c r="Y24" i="303" a="1"/>
  <c r="Y24" i="303" s="1"/>
  <c r="F24" i="303" a="1"/>
  <c r="F24" i="303" s="1"/>
  <c r="Z12" i="303" a="1"/>
  <c r="Z12" i="303" s="1"/>
  <c r="X24" i="303" a="1"/>
  <c r="X24" i="303" s="1"/>
  <c r="E24" i="303" a="1"/>
  <c r="E24" i="303" s="1"/>
  <c r="AH24" i="303" a="1"/>
  <c r="AH24" i="303" s="1"/>
  <c r="O24" i="303" a="1"/>
  <c r="O24" i="303" s="1"/>
  <c r="Y12" i="303" a="1"/>
  <c r="Y12" i="303" s="1"/>
  <c r="N24" i="303" a="1"/>
  <c r="N24" i="303" s="1"/>
  <c r="W12" i="303" a="1"/>
  <c r="W12" i="303" s="1"/>
  <c r="G24" i="303" a="1"/>
  <c r="G24" i="303" s="1"/>
  <c r="X12" i="303" a="1"/>
  <c r="X12" i="303" s="1"/>
  <c r="AD24" i="303" a="1"/>
  <c r="AD24" i="303" s="1"/>
  <c r="Q24" i="303" a="1"/>
  <c r="Q24" i="303" s="1"/>
  <c r="AG12" i="303" a="1"/>
  <c r="AG12" i="303" s="1"/>
  <c r="H24" i="303" a="1"/>
  <c r="H24" i="303" s="1"/>
  <c r="AF12" i="303" a="1"/>
  <c r="AF12" i="303" s="1"/>
  <c r="V24" i="303" a="1"/>
  <c r="V24" i="303" s="1"/>
  <c r="X4" i="303" a="1"/>
  <c r="X4" i="303" s="1"/>
  <c r="W26" i="303" a="1"/>
  <c r="W26" i="303" s="1"/>
  <c r="W26" i="316" a="1"/>
  <c r="W26" i="316" s="1"/>
  <c r="AA24" i="316" a="1"/>
  <c r="AA24" i="316" s="1"/>
  <c r="J24" i="316" a="1"/>
  <c r="J24" i="316" s="1"/>
  <c r="AF12" i="316" a="1"/>
  <c r="AF12" i="316" s="1"/>
  <c r="H24" i="316" a="1"/>
  <c r="H24" i="316" s="1"/>
  <c r="AB12" i="316" a="1"/>
  <c r="AB12" i="316" s="1"/>
  <c r="Z24" i="316" a="1"/>
  <c r="Z24" i="316" s="1"/>
  <c r="Q24" i="316" a="1"/>
  <c r="Q24" i="316" s="1"/>
  <c r="Y12" i="316" a="1"/>
  <c r="Y12" i="316" s="1"/>
  <c r="X4" i="316" a="1"/>
  <c r="X4" i="316" s="1"/>
  <c r="X12" i="316" a="1"/>
  <c r="X12" i="316" s="1"/>
  <c r="M4" i="316" a="1"/>
  <c r="M4" i="316" s="1"/>
  <c r="H32" i="316" s="1"/>
  <c r="AE24" i="316" a="1"/>
  <c r="AE24" i="316" s="1"/>
  <c r="U24" i="316" a="1"/>
  <c r="U24" i="316" s="1"/>
  <c r="K24" i="316" a="1"/>
  <c r="K24" i="316" s="1"/>
  <c r="AF24" i="316" a="1"/>
  <c r="AF24" i="316" s="1"/>
  <c r="S24" i="316" a="1"/>
  <c r="S24" i="316" s="1"/>
  <c r="M24" i="316" a="1"/>
  <c r="M24" i="316" s="1"/>
  <c r="AA12" i="316" a="1"/>
  <c r="AA12" i="316" s="1"/>
  <c r="F24" i="316" a="1"/>
  <c r="F24" i="316" s="1"/>
  <c r="AD12" i="316" a="1"/>
  <c r="AD12" i="316" s="1"/>
  <c r="T24" i="316" a="1"/>
  <c r="T24" i="316" s="1"/>
  <c r="AC12" i="316" a="1"/>
  <c r="AC12" i="316" s="1"/>
  <c r="D24" i="316" a="1"/>
  <c r="D24" i="316" s="1"/>
  <c r="AB24" i="316" a="1"/>
  <c r="AB24" i="316" s="1"/>
  <c r="G24" i="316" a="1"/>
  <c r="G24" i="316" s="1"/>
  <c r="O24" i="316" a="1"/>
  <c r="O24" i="316" s="1"/>
  <c r="AG24" i="316" a="1"/>
  <c r="AG24" i="316" s="1"/>
  <c r="AD24" i="316" a="1"/>
  <c r="AD24" i="316" s="1"/>
  <c r="L24" i="316" a="1"/>
  <c r="L24" i="316" s="1"/>
  <c r="AH12" i="316" a="1"/>
  <c r="AH12" i="316" s="1"/>
  <c r="N24" i="316" a="1"/>
  <c r="N24" i="316" s="1"/>
  <c r="AG12" i="316" a="1"/>
  <c r="AG12" i="316" s="1"/>
  <c r="R24" i="316" a="1"/>
  <c r="R24" i="316" s="1"/>
  <c r="W12" i="316" a="1"/>
  <c r="W12" i="316" s="1"/>
  <c r="P24" i="316" a="1"/>
  <c r="P24" i="316" s="1"/>
  <c r="AE12" i="316" a="1"/>
  <c r="AE12" i="316" s="1"/>
  <c r="Z12" i="316" a="1"/>
  <c r="Z12" i="316" s="1"/>
  <c r="AH24" i="316" a="1"/>
  <c r="AH24" i="316" s="1"/>
  <c r="AB12" i="303" a="1"/>
  <c r="AB12" i="303" s="1"/>
  <c r="AB24" i="329" a="1"/>
  <c r="AB24" i="329" s="1"/>
  <c r="T24" i="329" a="1"/>
  <c r="T24" i="329" s="1"/>
  <c r="L24" i="329" a="1"/>
  <c r="L24" i="329" s="1"/>
  <c r="D24" i="329" a="1"/>
  <c r="D24" i="329" s="1"/>
  <c r="AC12" i="329" a="1"/>
  <c r="AC12" i="329" s="1"/>
  <c r="AC24" i="329" a="1"/>
  <c r="AC24" i="329" s="1"/>
  <c r="Z12" i="329" a="1"/>
  <c r="Z12" i="329" s="1"/>
  <c r="AG24" i="329" a="1"/>
  <c r="AG24" i="329" s="1"/>
  <c r="X24" i="329" a="1"/>
  <c r="X24" i="329" s="1"/>
  <c r="O24" i="329" a="1"/>
  <c r="O24" i="329" s="1"/>
  <c r="F24" i="329" a="1"/>
  <c r="F24" i="329" s="1"/>
  <c r="AE24" i="329" a="1"/>
  <c r="AE24" i="329" s="1"/>
  <c r="K24" i="329" a="1"/>
  <c r="K24" i="329" s="1"/>
  <c r="AG12" i="329" a="1"/>
  <c r="AG12" i="329" s="1"/>
  <c r="W12" i="329" a="1"/>
  <c r="W12" i="329" s="1"/>
  <c r="R24" i="329" a="1"/>
  <c r="R24" i="329" s="1"/>
  <c r="H24" i="329" a="1"/>
  <c r="H24" i="329" s="1"/>
  <c r="AE12" i="329" a="1"/>
  <c r="AE12" i="329" s="1"/>
  <c r="W24" i="329" a="1"/>
  <c r="W24" i="329" s="1"/>
  <c r="S24" i="329" a="1"/>
  <c r="S24" i="329" s="1"/>
  <c r="AH12" i="329" a="1"/>
  <c r="AH12" i="329" s="1"/>
  <c r="Q24" i="329" a="1"/>
  <c r="Q24" i="329" s="1"/>
  <c r="AF12" i="329" a="1"/>
  <c r="AF12" i="329" s="1"/>
  <c r="M4" i="329" a="1"/>
  <c r="M4" i="329" s="1"/>
  <c r="H32" i="329" s="1"/>
  <c r="AF24" i="329" a="1"/>
  <c r="AF24" i="329" s="1"/>
  <c r="E24" i="329" a="1"/>
  <c r="E24" i="329" s="1"/>
  <c r="X4" i="329" a="1"/>
  <c r="X4" i="329" s="1"/>
  <c r="V24" i="329" a="1"/>
  <c r="V24" i="329" s="1"/>
  <c r="P24" i="329" a="1"/>
  <c r="P24" i="329" s="1"/>
  <c r="AB12" i="329" a="1"/>
  <c r="AB12" i="329" s="1"/>
  <c r="W26" i="329" a="1"/>
  <c r="W26" i="329" s="1"/>
  <c r="AH24" i="329" a="1"/>
  <c r="AH24" i="329" s="1"/>
  <c r="M24" i="329" a="1"/>
  <c r="M24" i="329" s="1"/>
  <c r="N24" i="329" a="1"/>
  <c r="N24" i="329" s="1"/>
  <c r="J24" i="329" a="1"/>
  <c r="J24" i="329" s="1"/>
  <c r="AD12" i="329" a="1"/>
  <c r="AD12" i="329" s="1"/>
  <c r="G24" i="329" a="1"/>
  <c r="G24" i="329" s="1"/>
  <c r="X12" i="329" a="1"/>
  <c r="X12" i="329" s="1"/>
  <c r="AD24" i="329" a="1"/>
  <c r="AD24" i="329" s="1"/>
  <c r="U24" i="329" a="1"/>
  <c r="U24" i="329" s="1"/>
  <c r="I24" i="329" a="1"/>
  <c r="I24" i="329" s="1"/>
  <c r="Y24" i="329" a="1"/>
  <c r="Y24" i="329" s="1"/>
  <c r="Z24" i="329" a="1"/>
  <c r="Z24" i="329" s="1"/>
  <c r="AA12" i="329" a="1"/>
  <c r="AA12" i="329" s="1"/>
  <c r="AG24" i="322" a="1"/>
  <c r="AG24" i="322" s="1"/>
  <c r="AH24" i="322" a="1"/>
  <c r="AH24" i="322" s="1"/>
  <c r="Q24" i="322" a="1"/>
  <c r="Q24" i="322" s="1"/>
  <c r="W12" i="322" a="1"/>
  <c r="W12" i="322" s="1"/>
  <c r="W26" i="322" a="1"/>
  <c r="W26" i="322" s="1"/>
  <c r="H24" i="322" a="1"/>
  <c r="H24" i="322" s="1"/>
  <c r="AB12" i="322" a="1"/>
  <c r="AB12" i="322" s="1"/>
  <c r="W24" i="322" a="1"/>
  <c r="W24" i="322" s="1"/>
  <c r="AE12" i="322" a="1"/>
  <c r="AE12" i="322" s="1"/>
  <c r="AF24" i="322" a="1"/>
  <c r="AF24" i="322" s="1"/>
  <c r="M24" i="322" a="1"/>
  <c r="M24" i="322" s="1"/>
  <c r="AB24" i="322" a="1"/>
  <c r="AB24" i="322" s="1"/>
  <c r="F24" i="322" a="1"/>
  <c r="F24" i="322" s="1"/>
  <c r="AA12" i="322" a="1"/>
  <c r="AA12" i="322" s="1"/>
  <c r="AA24" i="322" a="1"/>
  <c r="AA24" i="322" s="1"/>
  <c r="E24" i="322" a="1"/>
  <c r="E24" i="322" s="1"/>
  <c r="Z12" i="322" a="1"/>
  <c r="Z12" i="322" s="1"/>
  <c r="P24" i="322" a="1"/>
  <c r="P24" i="322" s="1"/>
  <c r="Z24" i="322" a="1"/>
  <c r="Z24" i="322" s="1"/>
  <c r="L24" i="322" a="1"/>
  <c r="L24" i="322" s="1"/>
  <c r="AE24" i="322" a="1"/>
  <c r="AE24" i="322" s="1"/>
  <c r="R24" i="322" a="1"/>
  <c r="R24" i="322" s="1"/>
  <c r="O24" i="322" a="1"/>
  <c r="O24" i="322" s="1"/>
  <c r="Y12" i="322" a="1"/>
  <c r="Y12" i="322" s="1"/>
  <c r="K24" i="322" a="1"/>
  <c r="K24" i="322" s="1"/>
  <c r="AG12" i="322" a="1"/>
  <c r="AG12" i="322" s="1"/>
  <c r="Y24" i="322" a="1"/>
  <c r="Y24" i="322" s="1"/>
  <c r="J24" i="322" a="1"/>
  <c r="J24" i="322" s="1"/>
  <c r="AF12" i="322" a="1"/>
  <c r="AF12" i="322" s="1"/>
  <c r="AD12" i="322" a="1"/>
  <c r="AD12" i="322" s="1"/>
  <c r="S24" i="322" a="1"/>
  <c r="S24" i="322" s="1"/>
  <c r="X12" i="322" a="1"/>
  <c r="X12" i="322" s="1"/>
  <c r="V24" i="322" a="1"/>
  <c r="V24" i="322" s="1"/>
  <c r="M4" i="322" a="1"/>
  <c r="M4" i="322" s="1"/>
  <c r="H32" i="322" s="1"/>
  <c r="T24" i="322" a="1"/>
  <c r="T24" i="322" s="1"/>
  <c r="X24" i="322" a="1"/>
  <c r="X24" i="322" s="1"/>
  <c r="U24" i="322" a="1"/>
  <c r="U24" i="322" s="1"/>
  <c r="AH12" i="322" a="1"/>
  <c r="AH12" i="322" s="1"/>
  <c r="X4" i="322" a="1"/>
  <c r="X4" i="322" s="1"/>
  <c r="Z24" i="323" a="1"/>
  <c r="Z24" i="323" s="1"/>
  <c r="I24" i="323" a="1"/>
  <c r="I24" i="323" s="1"/>
  <c r="AE12" i="323" a="1"/>
  <c r="AE12" i="323" s="1"/>
  <c r="AG24" i="323" a="1"/>
  <c r="AG24" i="323" s="1"/>
  <c r="X24" i="323" a="1"/>
  <c r="X24" i="323" s="1"/>
  <c r="O24" i="323" a="1"/>
  <c r="O24" i="323" s="1"/>
  <c r="R24" i="323" a="1"/>
  <c r="R24" i="323" s="1"/>
  <c r="H24" i="323" a="1"/>
  <c r="H24" i="323" s="1"/>
  <c r="AH12" i="323" a="1"/>
  <c r="AH12" i="323" s="1"/>
  <c r="AA24" i="323" a="1"/>
  <c r="AA24" i="323" s="1"/>
  <c r="Q24" i="323" a="1"/>
  <c r="Q24" i="323" s="1"/>
  <c r="X12" i="323" a="1"/>
  <c r="X12" i="323" s="1"/>
  <c r="X4" i="323" a="1"/>
  <c r="X4" i="323" s="1"/>
  <c r="Y24" i="323" a="1"/>
  <c r="Y24" i="323" s="1"/>
  <c r="Y12" i="323" a="1"/>
  <c r="Y12" i="323" s="1"/>
  <c r="W26" i="323" a="1"/>
  <c r="W26" i="323" s="1"/>
  <c r="M24" i="323" a="1"/>
  <c r="M24" i="323" s="1"/>
  <c r="W12" i="323" a="1"/>
  <c r="W12" i="323" s="1"/>
  <c r="AD24" i="323" a="1"/>
  <c r="AD24" i="323" s="1"/>
  <c r="AG12" i="323" a="1"/>
  <c r="AG12" i="323" s="1"/>
  <c r="W24" i="323" a="1"/>
  <c r="W24" i="323" s="1"/>
  <c r="J24" i="323" a="1"/>
  <c r="J24" i="323" s="1"/>
  <c r="T24" i="323" a="1"/>
  <c r="T24" i="323" s="1"/>
  <c r="D24" i="323" a="1"/>
  <c r="D24" i="323" s="1"/>
  <c r="S24" i="323" a="1"/>
  <c r="S24" i="323" s="1"/>
  <c r="G24" i="323" a="1"/>
  <c r="G24" i="323" s="1"/>
  <c r="AB24" i="323" a="1"/>
  <c r="AB24" i="323" s="1"/>
  <c r="F24" i="323" a="1"/>
  <c r="F24" i="323" s="1"/>
  <c r="AF12" i="323" a="1"/>
  <c r="AF12" i="323" s="1"/>
  <c r="U24" i="323" a="1"/>
  <c r="U24" i="323" s="1"/>
  <c r="M4" i="323" a="1"/>
  <c r="M4" i="323" s="1"/>
  <c r="H32" i="323" s="1"/>
  <c r="P24" i="323" a="1"/>
  <c r="P24" i="323" s="1"/>
  <c r="AC12" i="323" a="1"/>
  <c r="AC12" i="323" s="1"/>
  <c r="L24" i="323" a="1"/>
  <c r="L24" i="323" s="1"/>
  <c r="Z24" i="324" a="1"/>
  <c r="Z24" i="324" s="1"/>
  <c r="I24" i="324" a="1"/>
  <c r="I24" i="324" s="1"/>
  <c r="AE12" i="324" a="1"/>
  <c r="AE12" i="324" s="1"/>
  <c r="AD24" i="324" a="1"/>
  <c r="AD24" i="324" s="1"/>
  <c r="U24" i="324" a="1"/>
  <c r="U24" i="324" s="1"/>
  <c r="L24" i="324" a="1"/>
  <c r="L24" i="324" s="1"/>
  <c r="X4" i="324" a="1"/>
  <c r="X4" i="324" s="1"/>
  <c r="AE24" i="324" a="1"/>
  <c r="AE24" i="324" s="1"/>
  <c r="AB12" i="324" a="1"/>
  <c r="AB12" i="324" s="1"/>
  <c r="K24" i="324" a="1"/>
  <c r="K24" i="324" s="1"/>
  <c r="AG24" i="324" a="1"/>
  <c r="AG24" i="324" s="1"/>
  <c r="V24" i="324" a="1"/>
  <c r="V24" i="324" s="1"/>
  <c r="J24" i="324" a="1"/>
  <c r="J24" i="324" s="1"/>
  <c r="AF12" i="324" a="1"/>
  <c r="AF12" i="324" s="1"/>
  <c r="H24" i="324" a="1"/>
  <c r="H24" i="324" s="1"/>
  <c r="AD12" i="324" a="1"/>
  <c r="AD12" i="324" s="1"/>
  <c r="AF24" i="324" a="1"/>
  <c r="AF24" i="324" s="1"/>
  <c r="T24" i="324" a="1"/>
  <c r="T24" i="324" s="1"/>
  <c r="W24" i="324" a="1"/>
  <c r="W24" i="324" s="1"/>
  <c r="G24" i="324" a="1"/>
  <c r="G24" i="324" s="1"/>
  <c r="AH12" i="324" a="1"/>
  <c r="AH12" i="324" s="1"/>
  <c r="AC12" i="324" a="1"/>
  <c r="AC12" i="324" s="1"/>
  <c r="F24" i="324" a="1"/>
  <c r="F24" i="324" s="1"/>
  <c r="AC24" i="324" a="1"/>
  <c r="AC24" i="324" s="1"/>
  <c r="AB24" i="324" a="1"/>
  <c r="AB24" i="324" s="1"/>
  <c r="M24" i="324" a="1"/>
  <c r="M24" i="324" s="1"/>
  <c r="Z12" i="324" a="1"/>
  <c r="Z12" i="324" s="1"/>
  <c r="X24" i="324" a="1"/>
  <c r="X24" i="324" s="1"/>
  <c r="Y12" i="324" a="1"/>
  <c r="Y12" i="324" s="1"/>
  <c r="S24" i="324" a="1"/>
  <c r="S24" i="324" s="1"/>
  <c r="E24" i="324" a="1"/>
  <c r="E24" i="324" s="1"/>
  <c r="Y24" i="324" a="1"/>
  <c r="Y24" i="324" s="1"/>
  <c r="AA12" i="324" a="1"/>
  <c r="AA12" i="324" s="1"/>
  <c r="R24" i="324" a="1"/>
  <c r="R24" i="324" s="1"/>
  <c r="AD24" i="334" a="1"/>
  <c r="AD24" i="334" s="1"/>
  <c r="V24" i="334" a="1"/>
  <c r="V24" i="334" s="1"/>
  <c r="N24" i="334" a="1"/>
  <c r="N24" i="334" s="1"/>
  <c r="F24" i="334" a="1"/>
  <c r="F24" i="334" s="1"/>
  <c r="AE12" i="334" a="1"/>
  <c r="AE12" i="334" s="1"/>
  <c r="W12" i="334" a="1"/>
  <c r="W12" i="334" s="1"/>
  <c r="AB24" i="334" a="1"/>
  <c r="AB24" i="334" s="1"/>
  <c r="S24" i="334" a="1"/>
  <c r="S24" i="334" s="1"/>
  <c r="J24" i="334" a="1"/>
  <c r="J24" i="334" s="1"/>
  <c r="AC12" i="334" a="1"/>
  <c r="AC12" i="334" s="1"/>
  <c r="P24" i="334" a="1"/>
  <c r="P24" i="334" s="1"/>
  <c r="AG12" i="334" a="1"/>
  <c r="AG12" i="334" s="1"/>
  <c r="M4" i="334" a="1"/>
  <c r="M4" i="334" s="1"/>
  <c r="H32" i="334" s="1"/>
  <c r="E24" i="334" a="1"/>
  <c r="E24" i="334" s="1"/>
  <c r="W26" i="334" a="1"/>
  <c r="W26" i="334" s="1"/>
  <c r="G24" i="334" a="1"/>
  <c r="G24" i="334" s="1"/>
  <c r="AA12" i="334" a="1"/>
  <c r="AA12" i="334" s="1"/>
  <c r="Q24" i="334" a="1"/>
  <c r="Q24" i="334" s="1"/>
  <c r="X4" i="334" a="1"/>
  <c r="X4" i="334" s="1"/>
  <c r="AC24" i="334" a="1"/>
  <c r="AC24" i="334" s="1"/>
  <c r="O24" i="334" a="1"/>
  <c r="O24" i="334" s="1"/>
  <c r="AF12" i="334" a="1"/>
  <c r="AF12" i="334" s="1"/>
  <c r="AA24" i="334" a="1"/>
  <c r="AA24" i="334" s="1"/>
  <c r="W24" i="334" a="1"/>
  <c r="W24" i="334" s="1"/>
  <c r="I24" i="334" a="1"/>
  <c r="I24" i="334" s="1"/>
  <c r="AD12" i="334" a="1"/>
  <c r="AD12" i="334" s="1"/>
  <c r="Z24" i="334" a="1"/>
  <c r="Z24" i="334" s="1"/>
  <c r="K24" i="334" a="1"/>
  <c r="K24" i="334" s="1"/>
  <c r="Z12" i="334" a="1"/>
  <c r="Z12" i="334" s="1"/>
  <c r="AE24" i="334" a="1"/>
  <c r="AE24" i="334" s="1"/>
  <c r="L24" i="334" a="1"/>
  <c r="L24" i="334" s="1"/>
  <c r="AB12" i="334" a="1"/>
  <c r="AB12" i="334" s="1"/>
  <c r="T24" i="334" a="1"/>
  <c r="T24" i="334" s="1"/>
  <c r="AG24" i="334" a="1"/>
  <c r="AG24" i="334" s="1"/>
  <c r="D24" i="334" a="1"/>
  <c r="D24" i="334" s="1"/>
  <c r="X12" i="334" a="1"/>
  <c r="X12" i="334" s="1"/>
  <c r="AF24" i="334" a="1"/>
  <c r="AF24" i="334" s="1"/>
  <c r="Y24" i="334" a="1"/>
  <c r="Y24" i="334" s="1"/>
  <c r="M24" i="334" a="1"/>
  <c r="M24" i="334" s="1"/>
  <c r="H24" i="334" a="1"/>
  <c r="H24" i="334" s="1"/>
  <c r="AH24" i="334" a="1"/>
  <c r="AH24" i="334" s="1"/>
  <c r="Y12" i="334" a="1"/>
  <c r="Y12" i="334" s="1"/>
  <c r="N24" i="323" a="1"/>
  <c r="N24" i="323" s="1"/>
  <c r="M4" i="324" a="1"/>
  <c r="M4" i="324" s="1"/>
  <c r="H32" i="324" s="1"/>
  <c r="U24" i="334" a="1"/>
  <c r="U24" i="334" s="1"/>
  <c r="AD12" i="323" a="1"/>
  <c r="AD12" i="323" s="1"/>
  <c r="AG12" i="324" a="1"/>
  <c r="AG12" i="324" s="1"/>
  <c r="AA24" i="324" a="1"/>
  <c r="AA24" i="324" s="1"/>
  <c r="AH12" i="334" a="1"/>
  <c r="AH12" i="334" s="1"/>
  <c r="X24" i="334" a="1"/>
  <c r="X24" i="334" s="1"/>
  <c r="V24" i="323" a="1"/>
  <c r="V24" i="323" s="1"/>
  <c r="AD24" i="330" a="1"/>
  <c r="AD24" i="330" s="1"/>
  <c r="V24" i="330" a="1"/>
  <c r="V24" i="330" s="1"/>
  <c r="N24" i="330" a="1"/>
  <c r="N24" i="330" s="1"/>
  <c r="F24" i="330" a="1"/>
  <c r="F24" i="330" s="1"/>
  <c r="AE12" i="330" a="1"/>
  <c r="AE12" i="330" s="1"/>
  <c r="W12" i="330" a="1"/>
  <c r="W12" i="330" s="1"/>
  <c r="AC24" i="330" a="1"/>
  <c r="AC24" i="330" s="1"/>
  <c r="L24" i="330" a="1"/>
  <c r="L24" i="330" s="1"/>
  <c r="Z12" i="330" a="1"/>
  <c r="Z12" i="330" s="1"/>
  <c r="AE24" i="330" a="1"/>
  <c r="AE24" i="330" s="1"/>
  <c r="AF12" i="330" a="1"/>
  <c r="AF12" i="330" s="1"/>
  <c r="X4" i="330" a="1"/>
  <c r="X4" i="330" s="1"/>
  <c r="P24" i="330" a="1"/>
  <c r="P24" i="330" s="1"/>
  <c r="S24" i="330" a="1"/>
  <c r="S24" i="330" s="1"/>
  <c r="I24" i="330" a="1"/>
  <c r="I24" i="330" s="1"/>
  <c r="AG12" i="330" a="1"/>
  <c r="AG12" i="330" s="1"/>
  <c r="Y24" i="330" a="1"/>
  <c r="Y24" i="330" s="1"/>
  <c r="M24" i="330" a="1"/>
  <c r="M24" i="330" s="1"/>
  <c r="AD12" i="330" a="1"/>
  <c r="AD12" i="330" s="1"/>
  <c r="W26" i="330" a="1"/>
  <c r="W26" i="330" s="1"/>
  <c r="W24" i="330" a="1"/>
  <c r="W24" i="330" s="1"/>
  <c r="AH24" i="330" a="1"/>
  <c r="AH24" i="330" s="1"/>
  <c r="U24" i="330" a="1"/>
  <c r="U24" i="330" s="1"/>
  <c r="AH12" i="330" a="1"/>
  <c r="AH12" i="330" s="1"/>
  <c r="H24" i="330" a="1"/>
  <c r="H24" i="330" s="1"/>
  <c r="T24" i="330" a="1"/>
  <c r="T24" i="330" s="1"/>
  <c r="G24" i="330" a="1"/>
  <c r="G24" i="330" s="1"/>
  <c r="X24" i="330" a="1"/>
  <c r="X24" i="330" s="1"/>
  <c r="E24" i="330" a="1"/>
  <c r="E24" i="330" s="1"/>
  <c r="Z24" i="330" a="1"/>
  <c r="Z24" i="330" s="1"/>
  <c r="D24" i="330" a="1"/>
  <c r="D24" i="330" s="1"/>
  <c r="X12" i="330" a="1"/>
  <c r="X12" i="330" s="1"/>
  <c r="AG24" i="330" a="1"/>
  <c r="AG24" i="330" s="1"/>
  <c r="AA12" i="330" a="1"/>
  <c r="AA12" i="330" s="1"/>
  <c r="K24" i="330" a="1"/>
  <c r="K24" i="330" s="1"/>
  <c r="Y12" i="330" a="1"/>
  <c r="Y12" i="330" s="1"/>
  <c r="O24" i="330" a="1"/>
  <c r="O24" i="330" s="1"/>
  <c r="R24" i="319" a="1"/>
  <c r="R24" i="319" s="1"/>
  <c r="AF12" i="319" a="1"/>
  <c r="AF12" i="319" s="1"/>
  <c r="W12" i="319" a="1"/>
  <c r="W12" i="319" s="1"/>
  <c r="AB24" i="319" a="1"/>
  <c r="AB24" i="319" s="1"/>
  <c r="S24" i="319" a="1"/>
  <c r="S24" i="319" s="1"/>
  <c r="J24" i="319" a="1"/>
  <c r="J24" i="319" s="1"/>
  <c r="AC12" i="319" a="1"/>
  <c r="AC12" i="319" s="1"/>
  <c r="W26" i="319" a="1"/>
  <c r="W26" i="319" s="1"/>
  <c r="Y24" i="319" a="1"/>
  <c r="Y24" i="319" s="1"/>
  <c r="O24" i="319" a="1"/>
  <c r="O24" i="319" s="1"/>
  <c r="AB12" i="319" a="1"/>
  <c r="AB12" i="319" s="1"/>
  <c r="AH24" i="319" a="1"/>
  <c r="AH24" i="319" s="1"/>
  <c r="X24" i="319" a="1"/>
  <c r="X24" i="319" s="1"/>
  <c r="N24" i="319" a="1"/>
  <c r="N24" i="319" s="1"/>
  <c r="D24" i="319" a="1"/>
  <c r="D24" i="319" s="1"/>
  <c r="AA12" i="319" a="1"/>
  <c r="AA12" i="319" s="1"/>
  <c r="K24" i="319" a="1"/>
  <c r="K24" i="319" s="1"/>
  <c r="X12" i="319" a="1"/>
  <c r="X12" i="319" s="1"/>
  <c r="W24" i="319" a="1"/>
  <c r="W24" i="319" s="1"/>
  <c r="I24" i="319" a="1"/>
  <c r="I24" i="319" s="1"/>
  <c r="L24" i="319" a="1"/>
  <c r="L24" i="319" s="1"/>
  <c r="AF24" i="305" a="1"/>
  <c r="AF24" i="305" s="1"/>
  <c r="X24" i="305" a="1"/>
  <c r="X24" i="305" s="1"/>
  <c r="P24" i="305" a="1"/>
  <c r="P24" i="305" s="1"/>
  <c r="H24" i="305" a="1"/>
  <c r="H24" i="305" s="1"/>
  <c r="AG12" i="305" a="1"/>
  <c r="AG12" i="305" s="1"/>
  <c r="Y12" i="305" a="1"/>
  <c r="Y12" i="305" s="1"/>
  <c r="T24" i="305" a="1"/>
  <c r="T24" i="305" s="1"/>
  <c r="AH12" i="305" a="1"/>
  <c r="AH12" i="305" s="1"/>
  <c r="AB24" i="305" a="1"/>
  <c r="AB24" i="305" s="1"/>
  <c r="K24" i="305" a="1"/>
  <c r="K24" i="305" s="1"/>
  <c r="F24" i="305" a="1"/>
  <c r="F24" i="305" s="1"/>
  <c r="AH24" i="305" a="1"/>
  <c r="AH24" i="305" s="1"/>
  <c r="E24" i="305" a="1"/>
  <c r="E24" i="305" s="1"/>
  <c r="Y24" i="305" a="1"/>
  <c r="Y24" i="305" s="1"/>
  <c r="O24" i="305" a="1"/>
  <c r="O24" i="305" s="1"/>
  <c r="AE12" i="305" a="1"/>
  <c r="AE12" i="305" s="1"/>
  <c r="W24" i="305" a="1"/>
  <c r="W24" i="305" s="1"/>
  <c r="L24" i="305" a="1"/>
  <c r="L24" i="305" s="1"/>
  <c r="AB12" i="305" a="1"/>
  <c r="AB12" i="305" s="1"/>
  <c r="AA24" i="305" a="1"/>
  <c r="AA24" i="305" s="1"/>
  <c r="M4" i="319" a="1"/>
  <c r="M4" i="319" s="1"/>
  <c r="H32" i="319" s="1"/>
  <c r="AH12" i="319" a="1"/>
  <c r="AH12" i="319" s="1"/>
  <c r="AC24" i="319" a="1"/>
  <c r="AC24" i="319" s="1"/>
  <c r="AD24" i="337" a="1"/>
  <c r="AD24" i="337" s="1"/>
  <c r="V24" i="337" a="1"/>
  <c r="V24" i="337" s="1"/>
  <c r="N24" i="337" a="1"/>
  <c r="N24" i="337" s="1"/>
  <c r="F24" i="337" a="1"/>
  <c r="F24" i="337" s="1"/>
  <c r="AE12" i="337" a="1"/>
  <c r="AE12" i="337" s="1"/>
  <c r="W12" i="337" a="1"/>
  <c r="W12" i="337" s="1"/>
  <c r="AC24" i="337" a="1"/>
  <c r="AC24" i="337" s="1"/>
  <c r="T24" i="337" a="1"/>
  <c r="T24" i="337" s="1"/>
  <c r="K24" i="337" a="1"/>
  <c r="K24" i="337" s="1"/>
  <c r="AD12" i="337" a="1"/>
  <c r="AD12" i="337" s="1"/>
  <c r="AA24" i="337" a="1"/>
  <c r="AA24" i="337" s="1"/>
  <c r="Q24" i="337" a="1"/>
  <c r="Q24" i="337" s="1"/>
  <c r="G24" i="337" a="1"/>
  <c r="G24" i="337" s="1"/>
  <c r="AC12" i="337" a="1"/>
  <c r="AC12" i="337" s="1"/>
  <c r="AH24" i="337" a="1"/>
  <c r="AH24" i="337" s="1"/>
  <c r="L24" i="337" a="1"/>
  <c r="L24" i="337" s="1"/>
  <c r="AG12" i="337" a="1"/>
  <c r="AG12" i="337" s="1"/>
  <c r="AF24" i="337" a="1"/>
  <c r="AF24" i="337" s="1"/>
  <c r="S24" i="337" a="1"/>
  <c r="S24" i="337" s="1"/>
  <c r="H24" i="337" a="1"/>
  <c r="H24" i="337" s="1"/>
  <c r="AE24" i="337" a="1"/>
  <c r="AE24" i="337" s="1"/>
  <c r="R24" i="337" a="1"/>
  <c r="R24" i="337" s="1"/>
  <c r="W26" i="337" a="1"/>
  <c r="W26" i="337" s="1"/>
  <c r="W24" i="337" a="1"/>
  <c r="W24" i="337" s="1"/>
  <c r="I24" i="337" a="1"/>
  <c r="I24" i="337" s="1"/>
  <c r="AH12" i="337" a="1"/>
  <c r="AH12" i="337" s="1"/>
  <c r="U24" i="337" a="1"/>
  <c r="U24" i="337" s="1"/>
  <c r="X12" i="337" a="1"/>
  <c r="X12" i="337" s="1"/>
  <c r="X24" i="337" a="1"/>
  <c r="X24" i="337" s="1"/>
  <c r="D24" i="337" a="1"/>
  <c r="D24" i="337" s="1"/>
  <c r="X4" i="337" a="1"/>
  <c r="X4" i="337" s="1"/>
  <c r="AB24" i="337" a="1"/>
  <c r="AB24" i="337" s="1"/>
  <c r="J24" i="337" a="1"/>
  <c r="J24" i="337" s="1"/>
  <c r="AG24" i="337" a="1"/>
  <c r="AG24" i="337" s="1"/>
  <c r="E24" i="337" a="1"/>
  <c r="E24" i="337" s="1"/>
  <c r="P24" i="337" a="1"/>
  <c r="P24" i="337" s="1"/>
  <c r="M24" i="337" a="1"/>
  <c r="M24" i="337" s="1"/>
  <c r="AB12" i="337" a="1"/>
  <c r="AB12" i="337" s="1"/>
  <c r="AA12" i="337" a="1"/>
  <c r="AA12" i="337" s="1"/>
  <c r="X4" i="319" a="1"/>
  <c r="X4" i="319" s="1"/>
  <c r="AD24" i="319" a="1"/>
  <c r="AD24" i="319" s="1"/>
  <c r="AF24" i="338" a="1"/>
  <c r="AF24" i="338" s="1"/>
  <c r="X24" i="338" a="1"/>
  <c r="X24" i="338" s="1"/>
  <c r="P24" i="338" a="1"/>
  <c r="P24" i="338" s="1"/>
  <c r="H24" i="338" a="1"/>
  <c r="H24" i="338" s="1"/>
  <c r="AG12" i="338" a="1"/>
  <c r="AG12" i="338" s="1"/>
  <c r="Y12" i="338" a="1"/>
  <c r="Y12" i="338" s="1"/>
  <c r="AA24" i="338" a="1"/>
  <c r="AA24" i="338" s="1"/>
  <c r="R24" i="338" a="1"/>
  <c r="R24" i="338" s="1"/>
  <c r="I24" i="338" a="1"/>
  <c r="I24" i="338" s="1"/>
  <c r="AB12" i="338" a="1"/>
  <c r="AB12" i="338" s="1"/>
  <c r="W26" i="338" a="1"/>
  <c r="W26" i="338" s="1"/>
  <c r="Z24" i="338" a="1"/>
  <c r="Z24" i="338" s="1"/>
  <c r="O24" i="338" a="1"/>
  <c r="O24" i="338" s="1"/>
  <c r="E24" i="338" a="1"/>
  <c r="E24" i="338" s="1"/>
  <c r="AD12" i="338" a="1"/>
  <c r="AD12" i="338" s="1"/>
  <c r="AC24" i="338" a="1"/>
  <c r="AC24" i="338" s="1"/>
  <c r="F24" i="338" a="1"/>
  <c r="F24" i="338" s="1"/>
  <c r="AE24" i="338" a="1"/>
  <c r="AE24" i="338" s="1"/>
  <c r="T24" i="338" a="1"/>
  <c r="T24" i="338" s="1"/>
  <c r="G24" i="338" a="1"/>
  <c r="G24" i="338" s="1"/>
  <c r="AD24" i="338" a="1"/>
  <c r="AD24" i="338" s="1"/>
  <c r="S24" i="338" a="1"/>
  <c r="S24" i="338" s="1"/>
  <c r="V24" i="338" a="1"/>
  <c r="V24" i="338" s="1"/>
  <c r="J24" i="338" a="1"/>
  <c r="J24" i="338" s="1"/>
  <c r="AH24" i="338" a="1"/>
  <c r="AH24" i="338" s="1"/>
  <c r="U24" i="338" a="1"/>
  <c r="U24" i="338" s="1"/>
  <c r="M24" i="338" a="1"/>
  <c r="M24" i="338" s="1"/>
  <c r="AF12" i="338" a="1"/>
  <c r="AF12" i="338" s="1"/>
  <c r="AB24" i="338" a="1"/>
  <c r="AB24" i="338" s="1"/>
  <c r="L24" i="338" a="1"/>
  <c r="L24" i="338" s="1"/>
  <c r="AE12" i="338" a="1"/>
  <c r="AE12" i="338" s="1"/>
  <c r="AA12" i="338" a="1"/>
  <c r="AA12" i="338" s="1"/>
  <c r="Q24" i="338" a="1"/>
  <c r="Q24" i="338" s="1"/>
  <c r="Z12" i="338" a="1"/>
  <c r="Z12" i="338" s="1"/>
  <c r="K24" i="338" a="1"/>
  <c r="K24" i="338" s="1"/>
  <c r="AH12" i="338" a="1"/>
  <c r="AH12" i="338" s="1"/>
  <c r="AG24" i="338" a="1"/>
  <c r="AG24" i="338" s="1"/>
  <c r="D24" i="338" a="1"/>
  <c r="D24" i="338" s="1"/>
  <c r="W24" i="338" a="1"/>
  <c r="W24" i="338" s="1"/>
  <c r="AC12" i="338" a="1"/>
  <c r="AC12" i="338" s="1"/>
  <c r="X4" i="338" a="1"/>
  <c r="X4" i="338" s="1"/>
  <c r="X12" i="338" a="1"/>
  <c r="X12" i="338" s="1"/>
  <c r="M4" i="338" a="1"/>
  <c r="M4" i="338" s="1"/>
  <c r="H32" i="338" s="1"/>
  <c r="W12" i="338" a="1"/>
  <c r="W12" i="338" s="1"/>
  <c r="Y24" i="338" a="1"/>
  <c r="Y24" i="338" s="1"/>
  <c r="AB24" i="307" a="1"/>
  <c r="AB24" i="307" s="1"/>
  <c r="T24" i="307" a="1"/>
  <c r="T24" i="307" s="1"/>
  <c r="L24" i="307" a="1"/>
  <c r="L24" i="307" s="1"/>
  <c r="D24" i="307" a="1"/>
  <c r="D24" i="307" s="1"/>
  <c r="AC12" i="307" a="1"/>
  <c r="AC12" i="307" s="1"/>
  <c r="U24" i="307" a="1"/>
  <c r="U24" i="307" s="1"/>
  <c r="AC24" i="307" a="1"/>
  <c r="AC24" i="307" s="1"/>
  <c r="Z12" i="307" a="1"/>
  <c r="Z12" i="307" s="1"/>
  <c r="P24" i="307" a="1"/>
  <c r="P24" i="307" s="1"/>
  <c r="W12" i="307" a="1"/>
  <c r="W12" i="307" s="1"/>
  <c r="AH24" i="307" a="1"/>
  <c r="AH24" i="307" s="1"/>
  <c r="O24" i="307" a="1"/>
  <c r="O24" i="307" s="1"/>
  <c r="Y24" i="307" a="1"/>
  <c r="Y24" i="307" s="1"/>
  <c r="F24" i="307" a="1"/>
  <c r="F24" i="307" s="1"/>
  <c r="AF12" i="307" a="1"/>
  <c r="AF12" i="307" s="1"/>
  <c r="AA12" i="307" a="1"/>
  <c r="AA12" i="307" s="1"/>
  <c r="I24" i="307" a="1"/>
  <c r="I24" i="307" s="1"/>
  <c r="AH24" i="335" a="1"/>
  <c r="AH24" i="335" s="1"/>
  <c r="Z24" i="335" a="1"/>
  <c r="Z24" i="335" s="1"/>
  <c r="R24" i="335" a="1"/>
  <c r="R24" i="335" s="1"/>
  <c r="J24" i="335" a="1"/>
  <c r="J24" i="335" s="1"/>
  <c r="AA12" i="335" a="1"/>
  <c r="AA12" i="335" s="1"/>
  <c r="AG24" i="335" a="1"/>
  <c r="AG24" i="335" s="1"/>
  <c r="X24" i="335" a="1"/>
  <c r="X24" i="335" s="1"/>
  <c r="O24" i="335" a="1"/>
  <c r="O24" i="335" s="1"/>
  <c r="F24" i="335" a="1"/>
  <c r="F24" i="335" s="1"/>
  <c r="AH12" i="335" a="1"/>
  <c r="AH12" i="335" s="1"/>
  <c r="Y12" i="335" a="1"/>
  <c r="Y12" i="335" s="1"/>
  <c r="W26" i="335" a="1"/>
  <c r="W26" i="335" s="1"/>
  <c r="AB12" i="335" a="1"/>
  <c r="AB12" i="335" s="1"/>
  <c r="Q24" i="335" a="1"/>
  <c r="Q24" i="335" s="1"/>
  <c r="W24" i="335" a="1"/>
  <c r="W24" i="335" s="1"/>
  <c r="L24" i="335" a="1"/>
  <c r="L24" i="335" s="1"/>
  <c r="AE12" i="335" a="1"/>
  <c r="AE12" i="335" s="1"/>
  <c r="V24" i="335" a="1"/>
  <c r="V24" i="335" s="1"/>
  <c r="K24" i="335" a="1"/>
  <c r="K24" i="335" s="1"/>
  <c r="AD12" i="335" a="1"/>
  <c r="AD12" i="335" s="1"/>
  <c r="AB24" i="335" a="1"/>
  <c r="AB24" i="335" s="1"/>
  <c r="N24" i="335" a="1"/>
  <c r="N24" i="335" s="1"/>
  <c r="M24" i="335" a="1"/>
  <c r="M24" i="335" s="1"/>
  <c r="X12" i="335" a="1"/>
  <c r="X12" i="335" s="1"/>
  <c r="I24" i="335" a="1"/>
  <c r="I24" i="335" s="1"/>
  <c r="M4" i="335" a="1"/>
  <c r="M4" i="335" s="1"/>
  <c r="H32" i="335" s="1"/>
  <c r="Y24" i="335" a="1"/>
  <c r="Y24" i="335" s="1"/>
  <c r="AF12" i="335" a="1"/>
  <c r="AF12" i="335" s="1"/>
  <c r="AF24" i="335" a="1"/>
  <c r="AF24" i="335" s="1"/>
  <c r="T24" i="335" a="1"/>
  <c r="T24" i="335" s="1"/>
  <c r="P24" i="335" a="1"/>
  <c r="P24" i="335" s="1"/>
  <c r="W12" i="335" a="1"/>
  <c r="W12" i="335" s="1"/>
  <c r="S24" i="335" a="1"/>
  <c r="S24" i="335" s="1"/>
  <c r="Z12" i="335" a="1"/>
  <c r="Z12" i="335" s="1"/>
  <c r="AC12" i="335" a="1"/>
  <c r="AC12" i="335" s="1"/>
  <c r="AB24" i="336" a="1"/>
  <c r="AB24" i="336" s="1"/>
  <c r="T24" i="336" a="1"/>
  <c r="T24" i="336" s="1"/>
  <c r="L24" i="336" a="1"/>
  <c r="L24" i="336" s="1"/>
  <c r="D24" i="336" a="1"/>
  <c r="D24" i="336" s="1"/>
  <c r="AC12" i="336" a="1"/>
  <c r="AC12" i="336" s="1"/>
  <c r="AE24" i="336" a="1"/>
  <c r="AE24" i="336" s="1"/>
  <c r="V24" i="336" a="1"/>
  <c r="V24" i="336" s="1"/>
  <c r="M24" i="336" a="1"/>
  <c r="M24" i="336" s="1"/>
  <c r="AG12" i="336" a="1"/>
  <c r="AG12" i="336" s="1"/>
  <c r="X12" i="336" a="1"/>
  <c r="X12" i="336" s="1"/>
  <c r="X4" i="336" a="1"/>
  <c r="X4" i="336" s="1"/>
  <c r="Y24" i="336" a="1"/>
  <c r="Y24" i="336" s="1"/>
  <c r="O24" i="336" a="1"/>
  <c r="O24" i="336" s="1"/>
  <c r="E24" i="336" a="1"/>
  <c r="E24" i="336" s="1"/>
  <c r="AB12" i="336" a="1"/>
  <c r="AB12" i="336" s="1"/>
  <c r="W26" i="336" a="1"/>
  <c r="W26" i="336" s="1"/>
  <c r="N24" i="336" a="1"/>
  <c r="N24" i="336" s="1"/>
  <c r="AF24" i="336" a="1"/>
  <c r="AF24" i="336" s="1"/>
  <c r="R24" i="336" a="1"/>
  <c r="R24" i="336" s="1"/>
  <c r="F24" i="336" a="1"/>
  <c r="F24" i="336" s="1"/>
  <c r="AD12" i="336" a="1"/>
  <c r="AD12" i="336" s="1"/>
  <c r="AH12" i="336" a="1"/>
  <c r="AH12" i="336" s="1"/>
  <c r="K24" i="336" a="1"/>
  <c r="K24" i="336" s="1"/>
  <c r="AC24" i="336" a="1"/>
  <c r="AC24" i="336" s="1"/>
  <c r="J24" i="341" a="1"/>
  <c r="J24" i="341" s="1"/>
  <c r="AF12" i="341" a="1"/>
  <c r="AF12" i="341" s="1"/>
  <c r="AD24" i="341" a="1"/>
  <c r="AD24" i="341" s="1"/>
  <c r="V24" i="341" a="1"/>
  <c r="V24" i="341" s="1"/>
  <c r="N24" i="341" a="1"/>
  <c r="N24" i="341" s="1"/>
  <c r="F24" i="341" a="1"/>
  <c r="F24" i="341" s="1"/>
  <c r="AE12" i="341" a="1"/>
  <c r="AE12" i="341" s="1"/>
  <c r="W12" i="341" a="1"/>
  <c r="W12" i="341" s="1"/>
  <c r="M4" i="341" a="1"/>
  <c r="M4" i="341" s="1"/>
  <c r="H32" i="341" s="1"/>
  <c r="AC24" i="341" a="1"/>
  <c r="AC24" i="341" s="1"/>
  <c r="T24" i="341" a="1"/>
  <c r="T24" i="341" s="1"/>
  <c r="K24" i="341" a="1"/>
  <c r="K24" i="341" s="1"/>
  <c r="AD12" i="341" a="1"/>
  <c r="AD12" i="341" s="1"/>
  <c r="AB24" i="341" a="1"/>
  <c r="AB24" i="341" s="1"/>
  <c r="G24" i="341" a="1"/>
  <c r="G24" i="341" s="1"/>
  <c r="AA12" i="341" a="1"/>
  <c r="AA12" i="341" s="1"/>
  <c r="AA24" i="341" a="1"/>
  <c r="AA24" i="341" s="1"/>
  <c r="P24" i="341" a="1"/>
  <c r="P24" i="341" s="1"/>
  <c r="D24" i="341" a="1"/>
  <c r="D24" i="341" s="1"/>
  <c r="AH12" i="341" a="1"/>
  <c r="AH12" i="341" s="1"/>
  <c r="AG12" i="341" a="1"/>
  <c r="AG12" i="341" s="1"/>
  <c r="L24" i="341" a="1"/>
  <c r="L24" i="341" s="1"/>
  <c r="S28" i="377" l="1"/>
  <c r="S28" i="375"/>
  <c r="S28" i="374"/>
  <c r="S28" i="371"/>
  <c r="S28" i="370"/>
  <c r="S28" i="369"/>
  <c r="S28" i="368"/>
  <c r="S28" i="367"/>
  <c r="S28" i="364"/>
  <c r="S28" i="363"/>
  <c r="S28" i="362"/>
  <c r="S28" i="361"/>
  <c r="S28" i="360"/>
  <c r="S28" i="359"/>
  <c r="S28" i="356"/>
  <c r="S28" i="351"/>
  <c r="G14" i="347"/>
  <c r="G26" i="347"/>
  <c r="D23" i="345"/>
  <c r="D23" i="342"/>
  <c r="D11" i="345"/>
  <c r="D11" i="342"/>
  <c r="G14" i="345"/>
  <c r="G26" i="345"/>
  <c r="G14" i="342"/>
  <c r="G26" i="342"/>
  <c r="G8" i="206"/>
  <c r="E23" i="386" s="1"/>
  <c r="D23" i="341"/>
  <c r="D23" i="337"/>
  <c r="D23" i="335"/>
  <c r="D23" i="330"/>
  <c r="D23" i="329"/>
  <c r="D23" i="294"/>
  <c r="D23" i="323"/>
  <c r="D23" i="322"/>
  <c r="D23" i="309"/>
  <c r="D23" i="307"/>
  <c r="D23" i="306"/>
  <c r="D23" i="303"/>
  <c r="D23" i="298"/>
  <c r="D23" i="292"/>
  <c r="D23" i="289"/>
  <c r="D23" i="324"/>
  <c r="D23" i="319"/>
  <c r="D23" i="282"/>
  <c r="D23" i="281"/>
  <c r="D23" i="280"/>
  <c r="D23" i="279"/>
  <c r="D23" i="276"/>
  <c r="D23" i="316"/>
  <c r="D23" i="338"/>
  <c r="D23" i="336"/>
  <c r="D23" i="334"/>
  <c r="D23" i="305"/>
  <c r="G4" i="206"/>
  <c r="D11" i="341"/>
  <c r="D11" i="338"/>
  <c r="D11" i="337"/>
  <c r="D11" i="334"/>
  <c r="D11" i="316"/>
  <c r="D11" i="330"/>
  <c r="D11" i="329"/>
  <c r="D11" i="324"/>
  <c r="D11" i="323"/>
  <c r="D11" i="322"/>
  <c r="D11" i="298"/>
  <c r="D11" i="306"/>
  <c r="D11" i="305"/>
  <c r="D11" i="303"/>
  <c r="D11" i="294"/>
  <c r="D11" i="292"/>
  <c r="D11" i="289"/>
  <c r="D11" i="282"/>
  <c r="D11" i="281"/>
  <c r="D11" i="336"/>
  <c r="D11" i="309"/>
  <c r="D11" i="307"/>
  <c r="D11" i="280"/>
  <c r="D11" i="279"/>
  <c r="D11" i="276"/>
  <c r="D11" i="335"/>
  <c r="D11" i="319"/>
  <c r="G14" i="279"/>
  <c r="G26" i="294"/>
  <c r="G14" i="307"/>
  <c r="G14" i="303"/>
  <c r="G14" i="335"/>
  <c r="G14" i="341"/>
  <c r="G26" i="341"/>
  <c r="G26" i="305"/>
  <c r="G26" i="335"/>
  <c r="G14" i="337"/>
  <c r="G26" i="309"/>
  <c r="G14" i="298"/>
  <c r="G14" i="309"/>
  <c r="G26" i="289"/>
  <c r="G26" i="282"/>
  <c r="G14" i="276"/>
  <c r="G26" i="306"/>
  <c r="G26" i="298"/>
  <c r="G26" i="276"/>
  <c r="G26" i="334"/>
  <c r="G26" i="281"/>
  <c r="G26" i="292"/>
  <c r="G26" i="307"/>
  <c r="G14" i="329"/>
  <c r="G26" i="316"/>
  <c r="G14" i="330"/>
  <c r="G26" i="323"/>
  <c r="G14" i="294"/>
  <c r="G26" i="324"/>
  <c r="G14" i="316"/>
  <c r="G14" i="336"/>
  <c r="G14" i="338"/>
  <c r="G14" i="305"/>
  <c r="G14" i="324"/>
  <c r="G14" i="322"/>
  <c r="G26" i="303"/>
  <c r="G14" i="289"/>
  <c r="G14" i="282"/>
  <c r="G26" i="280"/>
  <c r="G26" i="336"/>
  <c r="G26" i="330"/>
  <c r="G14" i="281"/>
  <c r="G26" i="329"/>
  <c r="G26" i="279"/>
  <c r="G14" i="319"/>
  <c r="G14" i="323"/>
  <c r="G26" i="337"/>
  <c r="G14" i="306"/>
  <c r="G26" i="319"/>
  <c r="G14" i="334"/>
  <c r="G14" i="292"/>
  <c r="G26" i="338"/>
  <c r="G14" i="280"/>
  <c r="G26" i="322"/>
  <c r="AL2" i="1"/>
  <c r="F2" i="1"/>
  <c r="E11" i="379" l="1"/>
  <c r="F11" i="379" s="1"/>
  <c r="G11" i="379" s="1"/>
  <c r="H11" i="379" s="1"/>
  <c r="I11" i="379" s="1"/>
  <c r="J11" i="379" s="1"/>
  <c r="K11" i="379" s="1"/>
  <c r="L11" i="379" s="1"/>
  <c r="M11" i="379" s="1"/>
  <c r="N11" i="379" s="1"/>
  <c r="O11" i="379" s="1"/>
  <c r="P11" i="379" s="1"/>
  <c r="Q11" i="379" s="1"/>
  <c r="R11" i="379" s="1"/>
  <c r="S11" i="379" s="1"/>
  <c r="T11" i="379" s="1"/>
  <c r="U11" i="379" s="1"/>
  <c r="V11" i="379" s="1"/>
  <c r="W11" i="379" s="1"/>
  <c r="X11" i="379" s="1"/>
  <c r="Y11" i="379" s="1"/>
  <c r="Z11" i="379" s="1"/>
  <c r="AA11" i="379" s="1"/>
  <c r="AB11" i="379" s="1"/>
  <c r="AC11" i="379" s="1"/>
  <c r="AD11" i="379" s="1"/>
  <c r="AE11" i="379" s="1"/>
  <c r="AF11" i="379" s="1"/>
  <c r="AG11" i="379" s="1"/>
  <c r="AH11" i="379" s="1"/>
  <c r="AH10" i="379" s="1"/>
  <c r="E11" i="386"/>
  <c r="F11" i="386" s="1"/>
  <c r="G11" i="386" s="1"/>
  <c r="H11" i="386" s="1"/>
  <c r="I11" i="386" s="1"/>
  <c r="J11" i="386" s="1"/>
  <c r="K11" i="386" s="1"/>
  <c r="L11" i="386" s="1"/>
  <c r="M11" i="386" s="1"/>
  <c r="N11" i="386" s="1"/>
  <c r="O11" i="386" s="1"/>
  <c r="P11" i="386" s="1"/>
  <c r="Q11" i="386" s="1"/>
  <c r="R11" i="386" s="1"/>
  <c r="S11" i="386" s="1"/>
  <c r="T11" i="386" s="1"/>
  <c r="U11" i="386" s="1"/>
  <c r="V11" i="386" s="1"/>
  <c r="W11" i="386" s="1"/>
  <c r="X11" i="386" s="1"/>
  <c r="Y11" i="386" s="1"/>
  <c r="Z11" i="386" s="1"/>
  <c r="AA11" i="386" s="1"/>
  <c r="AB11" i="386" s="1"/>
  <c r="AC11" i="386" s="1"/>
  <c r="AD11" i="386" s="1"/>
  <c r="AE11" i="386" s="1"/>
  <c r="AF11" i="386" s="1"/>
  <c r="AG11" i="386" s="1"/>
  <c r="AH11" i="386" s="1"/>
  <c r="AH10" i="386" s="1"/>
  <c r="E23" i="375"/>
  <c r="E23" i="351"/>
  <c r="E11" i="375"/>
  <c r="F11" i="375" s="1"/>
  <c r="G11" i="375" s="1"/>
  <c r="H11" i="375" s="1"/>
  <c r="I11" i="375" s="1"/>
  <c r="J11" i="375" s="1"/>
  <c r="K11" i="375" s="1"/>
  <c r="L11" i="375" s="1"/>
  <c r="M11" i="375" s="1"/>
  <c r="N11" i="375" s="1"/>
  <c r="O11" i="375" s="1"/>
  <c r="P11" i="375" s="1"/>
  <c r="Q11" i="375" s="1"/>
  <c r="R11" i="375" s="1"/>
  <c r="S11" i="375" s="1"/>
  <c r="T11" i="375" s="1"/>
  <c r="U11" i="375" s="1"/>
  <c r="V11" i="375" s="1"/>
  <c r="W11" i="375" s="1"/>
  <c r="X11" i="375" s="1"/>
  <c r="Y11" i="375" s="1"/>
  <c r="Z11" i="375" s="1"/>
  <c r="AA11" i="375" s="1"/>
  <c r="AB11" i="375" s="1"/>
  <c r="AC11" i="375" s="1"/>
  <c r="AD11" i="375" s="1"/>
  <c r="AE11" i="375" s="1"/>
  <c r="AF11" i="375" s="1"/>
  <c r="AG11" i="375" s="1"/>
  <c r="AH11" i="375" s="1"/>
  <c r="AH10" i="375" s="1"/>
  <c r="E11" i="374"/>
  <c r="F11" i="374" s="1"/>
  <c r="G11" i="374" s="1"/>
  <c r="H11" i="374" s="1"/>
  <c r="I11" i="374" s="1"/>
  <c r="J11" i="374" s="1"/>
  <c r="K11" i="374" s="1"/>
  <c r="L11" i="374" s="1"/>
  <c r="M11" i="374" s="1"/>
  <c r="N11" i="374" s="1"/>
  <c r="O11" i="374" s="1"/>
  <c r="P11" i="374" s="1"/>
  <c r="Q11" i="374" s="1"/>
  <c r="R11" i="374" s="1"/>
  <c r="S11" i="374" s="1"/>
  <c r="T11" i="374" s="1"/>
  <c r="U11" i="374" s="1"/>
  <c r="V11" i="374" s="1"/>
  <c r="W11" i="374" s="1"/>
  <c r="X11" i="374" s="1"/>
  <c r="Y11" i="374" s="1"/>
  <c r="Z11" i="374" s="1"/>
  <c r="AA11" i="374" s="1"/>
  <c r="AB11" i="374" s="1"/>
  <c r="AC11" i="374" s="1"/>
  <c r="AD11" i="374" s="1"/>
  <c r="AE11" i="374" s="1"/>
  <c r="AF11" i="374" s="1"/>
  <c r="AG11" i="374" s="1"/>
  <c r="AH11" i="374" s="1"/>
  <c r="AH10" i="374" s="1"/>
  <c r="F23" i="386"/>
  <c r="E22" i="386"/>
  <c r="E11" i="371"/>
  <c r="F11" i="371" s="1"/>
  <c r="G11" i="371" s="1"/>
  <c r="H11" i="371" s="1"/>
  <c r="I11" i="371" s="1"/>
  <c r="J11" i="371" s="1"/>
  <c r="K11" i="371" s="1"/>
  <c r="L11" i="371" s="1"/>
  <c r="M11" i="371" s="1"/>
  <c r="N11" i="371" s="1"/>
  <c r="O11" i="371" s="1"/>
  <c r="P11" i="371" s="1"/>
  <c r="Q11" i="371" s="1"/>
  <c r="R11" i="371" s="1"/>
  <c r="S11" i="371" s="1"/>
  <c r="T11" i="371" s="1"/>
  <c r="U11" i="371" s="1"/>
  <c r="V11" i="371" s="1"/>
  <c r="W11" i="371" s="1"/>
  <c r="X11" i="371" s="1"/>
  <c r="Y11" i="371" s="1"/>
  <c r="Z11" i="371" s="1"/>
  <c r="AA11" i="371" s="1"/>
  <c r="AB11" i="371" s="1"/>
  <c r="AC11" i="371" s="1"/>
  <c r="AD11" i="371" s="1"/>
  <c r="AE11" i="371" s="1"/>
  <c r="AF11" i="371" s="1"/>
  <c r="AG11" i="371" s="1"/>
  <c r="AH11" i="371" s="1"/>
  <c r="AH10" i="371" s="1"/>
  <c r="D22" i="384"/>
  <c r="D22" i="386"/>
  <c r="D10" i="384"/>
  <c r="D10" i="386"/>
  <c r="E23" i="374"/>
  <c r="E11" i="377"/>
  <c r="F11" i="377" s="1"/>
  <c r="G11" i="377" s="1"/>
  <c r="H11" i="377" s="1"/>
  <c r="I11" i="377" s="1"/>
  <c r="J11" i="377" s="1"/>
  <c r="K11" i="377" s="1"/>
  <c r="L11" i="377" s="1"/>
  <c r="M11" i="377" s="1"/>
  <c r="N11" i="377" s="1"/>
  <c r="O11" i="377" s="1"/>
  <c r="P11" i="377" s="1"/>
  <c r="Q11" i="377" s="1"/>
  <c r="R11" i="377" s="1"/>
  <c r="S11" i="377" s="1"/>
  <c r="T11" i="377" s="1"/>
  <c r="U11" i="377" s="1"/>
  <c r="V11" i="377" s="1"/>
  <c r="W11" i="377" s="1"/>
  <c r="X11" i="377" s="1"/>
  <c r="Y11" i="377" s="1"/>
  <c r="Z11" i="377" s="1"/>
  <c r="AA11" i="377" s="1"/>
  <c r="AB11" i="377" s="1"/>
  <c r="AC11" i="377" s="1"/>
  <c r="AD11" i="377" s="1"/>
  <c r="AE11" i="377" s="1"/>
  <c r="AF11" i="377" s="1"/>
  <c r="AG11" i="377" s="1"/>
  <c r="AH11" i="377" s="1"/>
  <c r="AH10" i="377" s="1"/>
  <c r="E23" i="371"/>
  <c r="F23" i="371" s="1"/>
  <c r="E23" i="378"/>
  <c r="E11" i="378"/>
  <c r="F11" i="378" s="1"/>
  <c r="G11" i="378" s="1"/>
  <c r="H11" i="378" s="1"/>
  <c r="I11" i="378" s="1"/>
  <c r="J11" i="378" s="1"/>
  <c r="K11" i="378" s="1"/>
  <c r="L11" i="378" s="1"/>
  <c r="M11" i="378" s="1"/>
  <c r="N11" i="378" s="1"/>
  <c r="O11" i="378" s="1"/>
  <c r="P11" i="378" s="1"/>
  <c r="Q11" i="378" s="1"/>
  <c r="R11" i="378" s="1"/>
  <c r="S11" i="378" s="1"/>
  <c r="T11" i="378" s="1"/>
  <c r="U11" i="378" s="1"/>
  <c r="V11" i="378" s="1"/>
  <c r="W11" i="378" s="1"/>
  <c r="X11" i="378" s="1"/>
  <c r="Y11" i="378" s="1"/>
  <c r="Z11" i="378" s="1"/>
  <c r="AA11" i="378" s="1"/>
  <c r="AB11" i="378" s="1"/>
  <c r="AC11" i="378" s="1"/>
  <c r="AD11" i="378" s="1"/>
  <c r="AE11" i="378" s="1"/>
  <c r="AF11" i="378" s="1"/>
  <c r="AG11" i="378" s="1"/>
  <c r="AH11" i="378" s="1"/>
  <c r="AH10" i="378" s="1"/>
  <c r="F23" i="375"/>
  <c r="E22" i="375"/>
  <c r="E23" i="382"/>
  <c r="E11" i="381"/>
  <c r="F11" i="381" s="1"/>
  <c r="G11" i="381" s="1"/>
  <c r="H11" i="381" s="1"/>
  <c r="I11" i="381" s="1"/>
  <c r="J11" i="381" s="1"/>
  <c r="K11" i="381" s="1"/>
  <c r="L11" i="381" s="1"/>
  <c r="M11" i="381" s="1"/>
  <c r="N11" i="381" s="1"/>
  <c r="O11" i="381" s="1"/>
  <c r="P11" i="381" s="1"/>
  <c r="Q11" i="381" s="1"/>
  <c r="R11" i="381" s="1"/>
  <c r="S11" i="381" s="1"/>
  <c r="T11" i="381" s="1"/>
  <c r="U11" i="381" s="1"/>
  <c r="V11" i="381" s="1"/>
  <c r="W11" i="381" s="1"/>
  <c r="X11" i="381" s="1"/>
  <c r="Y11" i="381" s="1"/>
  <c r="Z11" i="381" s="1"/>
  <c r="AA11" i="381" s="1"/>
  <c r="AB11" i="381" s="1"/>
  <c r="AC11" i="381" s="1"/>
  <c r="AD11" i="381" s="1"/>
  <c r="AE11" i="381" s="1"/>
  <c r="AF11" i="381" s="1"/>
  <c r="AG11" i="381" s="1"/>
  <c r="AH11" i="381" s="1"/>
  <c r="AH10" i="381" s="1"/>
  <c r="E23" i="377"/>
  <c r="E23" i="384"/>
  <c r="E23" i="379"/>
  <c r="E11" i="382"/>
  <c r="F11" i="382" s="1"/>
  <c r="G11" i="382" s="1"/>
  <c r="H11" i="382" s="1"/>
  <c r="I11" i="382" s="1"/>
  <c r="J11" i="382" s="1"/>
  <c r="K11" i="382" s="1"/>
  <c r="L11" i="382" s="1"/>
  <c r="M11" i="382" s="1"/>
  <c r="N11" i="382" s="1"/>
  <c r="O11" i="382" s="1"/>
  <c r="P11" i="382" s="1"/>
  <c r="Q11" i="382" s="1"/>
  <c r="R11" i="382" s="1"/>
  <c r="S11" i="382" s="1"/>
  <c r="T11" i="382" s="1"/>
  <c r="U11" i="382" s="1"/>
  <c r="V11" i="382" s="1"/>
  <c r="W11" i="382" s="1"/>
  <c r="X11" i="382" s="1"/>
  <c r="Y11" i="382" s="1"/>
  <c r="Z11" i="382" s="1"/>
  <c r="AA11" i="382" s="1"/>
  <c r="AB11" i="382" s="1"/>
  <c r="AC11" i="382" s="1"/>
  <c r="AD11" i="382" s="1"/>
  <c r="AE11" i="382" s="1"/>
  <c r="AF11" i="382" s="1"/>
  <c r="AG11" i="382" s="1"/>
  <c r="AH11" i="382" s="1"/>
  <c r="AH10" i="382" s="1"/>
  <c r="E23" i="381"/>
  <c r="E11" i="384"/>
  <c r="F11" i="384" s="1"/>
  <c r="G11" i="384" s="1"/>
  <c r="H11" i="384" s="1"/>
  <c r="I11" i="384" s="1"/>
  <c r="J11" i="384" s="1"/>
  <c r="K11" i="384" s="1"/>
  <c r="L11" i="384" s="1"/>
  <c r="M11" i="384" s="1"/>
  <c r="N11" i="384" s="1"/>
  <c r="O11" i="384" s="1"/>
  <c r="P11" i="384" s="1"/>
  <c r="Q11" i="384" s="1"/>
  <c r="R11" i="384" s="1"/>
  <c r="S11" i="384" s="1"/>
  <c r="T11" i="384" s="1"/>
  <c r="U11" i="384" s="1"/>
  <c r="V11" i="384" s="1"/>
  <c r="W11" i="384" s="1"/>
  <c r="X11" i="384" s="1"/>
  <c r="Y11" i="384" s="1"/>
  <c r="Z11" i="384" s="1"/>
  <c r="AA11" i="384" s="1"/>
  <c r="AB11" i="384" s="1"/>
  <c r="AC11" i="384" s="1"/>
  <c r="AD11" i="384" s="1"/>
  <c r="AE11" i="384" s="1"/>
  <c r="AF11" i="384" s="1"/>
  <c r="AG11" i="384" s="1"/>
  <c r="AH11" i="384" s="1"/>
  <c r="AH10" i="384" s="1"/>
  <c r="D22" i="382"/>
  <c r="D22" i="378"/>
  <c r="D22" i="379"/>
  <c r="D22" i="381"/>
  <c r="D10" i="378"/>
  <c r="D10" i="379"/>
  <c r="D10" i="382"/>
  <c r="D10" i="381"/>
  <c r="D10" i="375"/>
  <c r="D10" i="377"/>
  <c r="D10" i="374"/>
  <c r="D22" i="375"/>
  <c r="D22" i="377"/>
  <c r="D22" i="374"/>
  <c r="E22" i="371"/>
  <c r="E23" i="370"/>
  <c r="E23" i="369"/>
  <c r="E11" i="370"/>
  <c r="F11" i="370" s="1"/>
  <c r="G11" i="370" s="1"/>
  <c r="H11" i="370" s="1"/>
  <c r="I11" i="370" s="1"/>
  <c r="J11" i="370" s="1"/>
  <c r="K11" i="370" s="1"/>
  <c r="L11" i="370" s="1"/>
  <c r="M11" i="370" s="1"/>
  <c r="N11" i="370" s="1"/>
  <c r="O11" i="370" s="1"/>
  <c r="P11" i="370" s="1"/>
  <c r="Q11" i="370" s="1"/>
  <c r="R11" i="370" s="1"/>
  <c r="S11" i="370" s="1"/>
  <c r="T11" i="370" s="1"/>
  <c r="U11" i="370" s="1"/>
  <c r="V11" i="370" s="1"/>
  <c r="W11" i="370" s="1"/>
  <c r="X11" i="370" s="1"/>
  <c r="Y11" i="370" s="1"/>
  <c r="Z11" i="370" s="1"/>
  <c r="AA11" i="370" s="1"/>
  <c r="AB11" i="370" s="1"/>
  <c r="AC11" i="370" s="1"/>
  <c r="AD11" i="370" s="1"/>
  <c r="AE11" i="370" s="1"/>
  <c r="AF11" i="370" s="1"/>
  <c r="AG11" i="370" s="1"/>
  <c r="AH11" i="370" s="1"/>
  <c r="AH10" i="370" s="1"/>
  <c r="D22" i="369"/>
  <c r="D22" i="371"/>
  <c r="D22" i="370"/>
  <c r="D10" i="369"/>
  <c r="D10" i="370"/>
  <c r="D10" i="371"/>
  <c r="F23" i="369"/>
  <c r="E22" i="369"/>
  <c r="F23" i="351"/>
  <c r="E22" i="351"/>
  <c r="E23" i="368"/>
  <c r="E23" i="367"/>
  <c r="E23" i="364"/>
  <c r="E23" i="360"/>
  <c r="E23" i="362"/>
  <c r="E23" i="361"/>
  <c r="E23" i="356"/>
  <c r="E23" i="359"/>
  <c r="E23" i="363"/>
  <c r="E11" i="359"/>
  <c r="F11" i="359" s="1"/>
  <c r="G11" i="359" s="1"/>
  <c r="H11" i="359" s="1"/>
  <c r="I11" i="359" s="1"/>
  <c r="J11" i="359" s="1"/>
  <c r="K11" i="359" s="1"/>
  <c r="L11" i="359" s="1"/>
  <c r="M11" i="359" s="1"/>
  <c r="N11" i="359" s="1"/>
  <c r="O11" i="359" s="1"/>
  <c r="P11" i="359" s="1"/>
  <c r="Q11" i="359" s="1"/>
  <c r="R11" i="359" s="1"/>
  <c r="S11" i="359" s="1"/>
  <c r="T11" i="359" s="1"/>
  <c r="U11" i="359" s="1"/>
  <c r="V11" i="359" s="1"/>
  <c r="W11" i="359" s="1"/>
  <c r="X11" i="359" s="1"/>
  <c r="Y11" i="359" s="1"/>
  <c r="Z11" i="359" s="1"/>
  <c r="AA11" i="359" s="1"/>
  <c r="AB11" i="359" s="1"/>
  <c r="AC11" i="359" s="1"/>
  <c r="AD11" i="359" s="1"/>
  <c r="AE11" i="359" s="1"/>
  <c r="AF11" i="359" s="1"/>
  <c r="AG11" i="359" s="1"/>
  <c r="AH11" i="359" s="1"/>
  <c r="AH10" i="359" s="1"/>
  <c r="E11" i="367"/>
  <c r="F11" i="367" s="1"/>
  <c r="G11" i="367" s="1"/>
  <c r="H11" i="367" s="1"/>
  <c r="I11" i="367" s="1"/>
  <c r="J11" i="367" s="1"/>
  <c r="K11" i="367" s="1"/>
  <c r="L11" i="367" s="1"/>
  <c r="M11" i="367" s="1"/>
  <c r="N11" i="367" s="1"/>
  <c r="O11" i="367" s="1"/>
  <c r="P11" i="367" s="1"/>
  <c r="Q11" i="367" s="1"/>
  <c r="R11" i="367" s="1"/>
  <c r="S11" i="367" s="1"/>
  <c r="T11" i="367" s="1"/>
  <c r="U11" i="367" s="1"/>
  <c r="V11" i="367" s="1"/>
  <c r="W11" i="367" s="1"/>
  <c r="X11" i="367" s="1"/>
  <c r="Y11" i="367" s="1"/>
  <c r="Z11" i="367" s="1"/>
  <c r="AA11" i="367" s="1"/>
  <c r="AB11" i="367" s="1"/>
  <c r="AC11" i="367" s="1"/>
  <c r="AD11" i="367" s="1"/>
  <c r="AE11" i="367" s="1"/>
  <c r="AF11" i="367" s="1"/>
  <c r="AG11" i="367" s="1"/>
  <c r="AH11" i="367" s="1"/>
  <c r="AH10" i="367" s="1"/>
  <c r="E11" i="356"/>
  <c r="F11" i="356" s="1"/>
  <c r="G11" i="356" s="1"/>
  <c r="H11" i="356" s="1"/>
  <c r="I11" i="356" s="1"/>
  <c r="J11" i="356" s="1"/>
  <c r="K11" i="356" s="1"/>
  <c r="L11" i="356" s="1"/>
  <c r="M11" i="356" s="1"/>
  <c r="N11" i="356" s="1"/>
  <c r="O11" i="356" s="1"/>
  <c r="P11" i="356" s="1"/>
  <c r="Q11" i="356" s="1"/>
  <c r="R11" i="356" s="1"/>
  <c r="S11" i="356" s="1"/>
  <c r="T11" i="356" s="1"/>
  <c r="U11" i="356" s="1"/>
  <c r="V11" i="356" s="1"/>
  <c r="W11" i="356" s="1"/>
  <c r="X11" i="356" s="1"/>
  <c r="Y11" i="356" s="1"/>
  <c r="Z11" i="356" s="1"/>
  <c r="AA11" i="356" s="1"/>
  <c r="AB11" i="356" s="1"/>
  <c r="AC11" i="356" s="1"/>
  <c r="AD11" i="356" s="1"/>
  <c r="AE11" i="356" s="1"/>
  <c r="AF11" i="356" s="1"/>
  <c r="AG11" i="356" s="1"/>
  <c r="AH11" i="356" s="1"/>
  <c r="AH10" i="356" s="1"/>
  <c r="E11" i="351"/>
  <c r="F11" i="351" s="1"/>
  <c r="G11" i="351" s="1"/>
  <c r="H11" i="351" s="1"/>
  <c r="I11" i="351" s="1"/>
  <c r="J11" i="351" s="1"/>
  <c r="K11" i="351" s="1"/>
  <c r="L11" i="351" s="1"/>
  <c r="M11" i="351" s="1"/>
  <c r="N11" i="351" s="1"/>
  <c r="O11" i="351" s="1"/>
  <c r="P11" i="351" s="1"/>
  <c r="Q11" i="351" s="1"/>
  <c r="R11" i="351" s="1"/>
  <c r="S11" i="351" s="1"/>
  <c r="T11" i="351" s="1"/>
  <c r="U11" i="351" s="1"/>
  <c r="V11" i="351" s="1"/>
  <c r="W11" i="351" s="1"/>
  <c r="X11" i="351" s="1"/>
  <c r="Y11" i="351" s="1"/>
  <c r="Z11" i="351" s="1"/>
  <c r="AA11" i="351" s="1"/>
  <c r="AB11" i="351" s="1"/>
  <c r="AC11" i="351" s="1"/>
  <c r="AD11" i="351" s="1"/>
  <c r="AE11" i="351" s="1"/>
  <c r="AF11" i="351" s="1"/>
  <c r="AG11" i="351" s="1"/>
  <c r="AH11" i="351" s="1"/>
  <c r="AH10" i="351" s="1"/>
  <c r="E11" i="361"/>
  <c r="F11" i="361" s="1"/>
  <c r="G11" i="361" s="1"/>
  <c r="H11" i="361" s="1"/>
  <c r="I11" i="361" s="1"/>
  <c r="J11" i="361" s="1"/>
  <c r="K11" i="361" s="1"/>
  <c r="L11" i="361" s="1"/>
  <c r="M11" i="361" s="1"/>
  <c r="N11" i="361" s="1"/>
  <c r="O11" i="361" s="1"/>
  <c r="P11" i="361" s="1"/>
  <c r="Q11" i="361" s="1"/>
  <c r="R11" i="361" s="1"/>
  <c r="S11" i="361" s="1"/>
  <c r="T11" i="361" s="1"/>
  <c r="U11" i="361" s="1"/>
  <c r="V11" i="361" s="1"/>
  <c r="W11" i="361" s="1"/>
  <c r="X11" i="361" s="1"/>
  <c r="Y11" i="361" s="1"/>
  <c r="Z11" i="361" s="1"/>
  <c r="AA11" i="361" s="1"/>
  <c r="AB11" i="361" s="1"/>
  <c r="AC11" i="361" s="1"/>
  <c r="AD11" i="361" s="1"/>
  <c r="AE11" i="361" s="1"/>
  <c r="AF11" i="361" s="1"/>
  <c r="AG11" i="361" s="1"/>
  <c r="AH11" i="361" s="1"/>
  <c r="AH10" i="361" s="1"/>
  <c r="E11" i="360"/>
  <c r="F11" i="360" s="1"/>
  <c r="G11" i="360" s="1"/>
  <c r="H11" i="360" s="1"/>
  <c r="I11" i="360" s="1"/>
  <c r="J11" i="360" s="1"/>
  <c r="K11" i="360" s="1"/>
  <c r="L11" i="360" s="1"/>
  <c r="M11" i="360" s="1"/>
  <c r="N11" i="360" s="1"/>
  <c r="O11" i="360" s="1"/>
  <c r="P11" i="360" s="1"/>
  <c r="Q11" i="360" s="1"/>
  <c r="R11" i="360" s="1"/>
  <c r="S11" i="360" s="1"/>
  <c r="T11" i="360" s="1"/>
  <c r="U11" i="360" s="1"/>
  <c r="V11" i="360" s="1"/>
  <c r="W11" i="360" s="1"/>
  <c r="X11" i="360" s="1"/>
  <c r="Y11" i="360" s="1"/>
  <c r="Z11" i="360" s="1"/>
  <c r="AA11" i="360" s="1"/>
  <c r="AB11" i="360" s="1"/>
  <c r="AC11" i="360" s="1"/>
  <c r="AD11" i="360" s="1"/>
  <c r="AE11" i="360" s="1"/>
  <c r="AF11" i="360" s="1"/>
  <c r="AG11" i="360" s="1"/>
  <c r="AH11" i="360" s="1"/>
  <c r="AH10" i="360" s="1"/>
  <c r="E11" i="362"/>
  <c r="F11" i="362" s="1"/>
  <c r="G11" i="362" s="1"/>
  <c r="H11" i="362" s="1"/>
  <c r="I11" i="362" s="1"/>
  <c r="J11" i="362" s="1"/>
  <c r="K11" i="362" s="1"/>
  <c r="L11" i="362" s="1"/>
  <c r="M11" i="362" s="1"/>
  <c r="N11" i="362" s="1"/>
  <c r="O11" i="362" s="1"/>
  <c r="P11" i="362" s="1"/>
  <c r="Q11" i="362" s="1"/>
  <c r="R11" i="362" s="1"/>
  <c r="S11" i="362" s="1"/>
  <c r="T11" i="362" s="1"/>
  <c r="U11" i="362" s="1"/>
  <c r="V11" i="362" s="1"/>
  <c r="W11" i="362" s="1"/>
  <c r="X11" i="362" s="1"/>
  <c r="Y11" i="362" s="1"/>
  <c r="Z11" i="362" s="1"/>
  <c r="AA11" i="362" s="1"/>
  <c r="AB11" i="362" s="1"/>
  <c r="AC11" i="362" s="1"/>
  <c r="AD11" i="362" s="1"/>
  <c r="AE11" i="362" s="1"/>
  <c r="AF11" i="362" s="1"/>
  <c r="AG11" i="362" s="1"/>
  <c r="AH11" i="362" s="1"/>
  <c r="AH10" i="362" s="1"/>
  <c r="E11" i="369"/>
  <c r="F11" i="369" s="1"/>
  <c r="G11" i="369" s="1"/>
  <c r="H11" i="369" s="1"/>
  <c r="I11" i="369" s="1"/>
  <c r="J11" i="369" s="1"/>
  <c r="K11" i="369" s="1"/>
  <c r="L11" i="369" s="1"/>
  <c r="M11" i="369" s="1"/>
  <c r="N11" i="369" s="1"/>
  <c r="O11" i="369" s="1"/>
  <c r="P11" i="369" s="1"/>
  <c r="Q11" i="369" s="1"/>
  <c r="R11" i="369" s="1"/>
  <c r="S11" i="369" s="1"/>
  <c r="T11" i="369" s="1"/>
  <c r="U11" i="369" s="1"/>
  <c r="V11" i="369" s="1"/>
  <c r="W11" i="369" s="1"/>
  <c r="X11" i="369" s="1"/>
  <c r="Y11" i="369" s="1"/>
  <c r="Z11" i="369" s="1"/>
  <c r="AA11" i="369" s="1"/>
  <c r="AB11" i="369" s="1"/>
  <c r="AC11" i="369" s="1"/>
  <c r="AD11" i="369" s="1"/>
  <c r="AE11" i="369" s="1"/>
  <c r="AF11" i="369" s="1"/>
  <c r="AG11" i="369" s="1"/>
  <c r="AH11" i="369" s="1"/>
  <c r="AH10" i="369" s="1"/>
  <c r="E11" i="363"/>
  <c r="F11" i="363" s="1"/>
  <c r="G11" i="363" s="1"/>
  <c r="H11" i="363" s="1"/>
  <c r="I11" i="363" s="1"/>
  <c r="J11" i="363" s="1"/>
  <c r="K11" i="363" s="1"/>
  <c r="L11" i="363" s="1"/>
  <c r="M11" i="363" s="1"/>
  <c r="N11" i="363" s="1"/>
  <c r="O11" i="363" s="1"/>
  <c r="P11" i="363" s="1"/>
  <c r="Q11" i="363" s="1"/>
  <c r="R11" i="363" s="1"/>
  <c r="S11" i="363" s="1"/>
  <c r="T11" i="363" s="1"/>
  <c r="U11" i="363" s="1"/>
  <c r="V11" i="363" s="1"/>
  <c r="W11" i="363" s="1"/>
  <c r="X11" i="363" s="1"/>
  <c r="Y11" i="363" s="1"/>
  <c r="Z11" i="363" s="1"/>
  <c r="AA11" i="363" s="1"/>
  <c r="AB11" i="363" s="1"/>
  <c r="AC11" i="363" s="1"/>
  <c r="AD11" i="363" s="1"/>
  <c r="AE11" i="363" s="1"/>
  <c r="AF11" i="363" s="1"/>
  <c r="AG11" i="363" s="1"/>
  <c r="AH11" i="363" s="1"/>
  <c r="AH10" i="363" s="1"/>
  <c r="E11" i="364"/>
  <c r="F11" i="364" s="1"/>
  <c r="G11" i="364" s="1"/>
  <c r="H11" i="364" s="1"/>
  <c r="I11" i="364" s="1"/>
  <c r="J11" i="364" s="1"/>
  <c r="K11" i="364" s="1"/>
  <c r="L11" i="364" s="1"/>
  <c r="M11" i="364" s="1"/>
  <c r="N11" i="364" s="1"/>
  <c r="O11" i="364" s="1"/>
  <c r="P11" i="364" s="1"/>
  <c r="Q11" i="364" s="1"/>
  <c r="R11" i="364" s="1"/>
  <c r="S11" i="364" s="1"/>
  <c r="T11" i="364" s="1"/>
  <c r="U11" i="364" s="1"/>
  <c r="V11" i="364" s="1"/>
  <c r="W11" i="364" s="1"/>
  <c r="X11" i="364" s="1"/>
  <c r="Y11" i="364" s="1"/>
  <c r="Z11" i="364" s="1"/>
  <c r="AA11" i="364" s="1"/>
  <c r="AB11" i="364" s="1"/>
  <c r="AC11" i="364" s="1"/>
  <c r="AD11" i="364" s="1"/>
  <c r="AE11" i="364" s="1"/>
  <c r="AF11" i="364" s="1"/>
  <c r="AG11" i="364" s="1"/>
  <c r="AH11" i="364" s="1"/>
  <c r="AH10" i="364" s="1"/>
  <c r="E11" i="368"/>
  <c r="F11" i="368" s="1"/>
  <c r="G11" i="368" s="1"/>
  <c r="H11" i="368" s="1"/>
  <c r="I11" i="368" s="1"/>
  <c r="J11" i="368" s="1"/>
  <c r="K11" i="368" s="1"/>
  <c r="L11" i="368" s="1"/>
  <c r="M11" i="368" s="1"/>
  <c r="N11" i="368" s="1"/>
  <c r="O11" i="368" s="1"/>
  <c r="P11" i="368" s="1"/>
  <c r="Q11" i="368" s="1"/>
  <c r="R11" i="368" s="1"/>
  <c r="S11" i="368" s="1"/>
  <c r="T11" i="368" s="1"/>
  <c r="U11" i="368" s="1"/>
  <c r="V11" i="368" s="1"/>
  <c r="W11" i="368" s="1"/>
  <c r="X11" i="368" s="1"/>
  <c r="Y11" i="368" s="1"/>
  <c r="Z11" i="368" s="1"/>
  <c r="AA11" i="368" s="1"/>
  <c r="AB11" i="368" s="1"/>
  <c r="AC11" i="368" s="1"/>
  <c r="AD11" i="368" s="1"/>
  <c r="AE11" i="368" s="1"/>
  <c r="AF11" i="368" s="1"/>
  <c r="AG11" i="368" s="1"/>
  <c r="AH11" i="368" s="1"/>
  <c r="AH10" i="368" s="1"/>
  <c r="D22" i="367"/>
  <c r="D22" i="368"/>
  <c r="D10" i="367"/>
  <c r="D10" i="368"/>
  <c r="D10" i="364"/>
  <c r="D10" i="361"/>
  <c r="D10" i="356"/>
  <c r="D10" i="363"/>
  <c r="D10" i="360"/>
  <c r="D10" i="359"/>
  <c r="D10" i="362"/>
  <c r="D22" i="360"/>
  <c r="D22" i="362"/>
  <c r="D22" i="364"/>
  <c r="D22" i="359"/>
  <c r="D22" i="361"/>
  <c r="D22" i="356"/>
  <c r="D22" i="363"/>
  <c r="D10" i="351"/>
  <c r="D22" i="351"/>
  <c r="E23" i="347"/>
  <c r="F23" i="347" s="1"/>
  <c r="E11" i="347"/>
  <c r="F11" i="347" s="1"/>
  <c r="G11" i="347" s="1"/>
  <c r="H11" i="347" s="1"/>
  <c r="I11" i="347" s="1"/>
  <c r="J11" i="347" s="1"/>
  <c r="K11" i="347" s="1"/>
  <c r="L11" i="347" s="1"/>
  <c r="M11" i="347" s="1"/>
  <c r="N11" i="347" s="1"/>
  <c r="O11" i="347" s="1"/>
  <c r="P11" i="347" s="1"/>
  <c r="Q11" i="347" s="1"/>
  <c r="R11" i="347" s="1"/>
  <c r="S11" i="347" s="1"/>
  <c r="T11" i="347" s="1"/>
  <c r="U11" i="347" s="1"/>
  <c r="V11" i="347" s="1"/>
  <c r="W11" i="347" s="1"/>
  <c r="X11" i="347" s="1"/>
  <c r="Y11" i="347" s="1"/>
  <c r="Z11" i="347" s="1"/>
  <c r="AA11" i="347" s="1"/>
  <c r="AB11" i="347" s="1"/>
  <c r="AC11" i="347" s="1"/>
  <c r="AD11" i="347" s="1"/>
  <c r="AE11" i="347" s="1"/>
  <c r="AF11" i="347" s="1"/>
  <c r="AG11" i="347" s="1"/>
  <c r="AH11" i="347" s="1"/>
  <c r="AH10" i="347" s="1"/>
  <c r="AM2" i="1"/>
  <c r="AL1" i="1"/>
  <c r="E11" i="345"/>
  <c r="F11" i="345" s="1"/>
  <c r="G11" i="345" s="1"/>
  <c r="H11" i="345" s="1"/>
  <c r="I11" i="345" s="1"/>
  <c r="J11" i="345" s="1"/>
  <c r="K11" i="345" s="1"/>
  <c r="L11" i="345" s="1"/>
  <c r="M11" i="345" s="1"/>
  <c r="N11" i="345" s="1"/>
  <c r="O11" i="345" s="1"/>
  <c r="P11" i="345" s="1"/>
  <c r="Q11" i="345" s="1"/>
  <c r="R11" i="345" s="1"/>
  <c r="S11" i="345" s="1"/>
  <c r="T11" i="345" s="1"/>
  <c r="U11" i="345" s="1"/>
  <c r="V11" i="345" s="1"/>
  <c r="W11" i="345" s="1"/>
  <c r="X11" i="345" s="1"/>
  <c r="Y11" i="345" s="1"/>
  <c r="Z11" i="345" s="1"/>
  <c r="AA11" i="345" s="1"/>
  <c r="AB11" i="345" s="1"/>
  <c r="AC11" i="345" s="1"/>
  <c r="AD11" i="345" s="1"/>
  <c r="AE11" i="345" s="1"/>
  <c r="AF11" i="345" s="1"/>
  <c r="AG11" i="345" s="1"/>
  <c r="AH11" i="345" s="1"/>
  <c r="AH10" i="345" s="1"/>
  <c r="E23" i="341"/>
  <c r="E23" i="337"/>
  <c r="E22" i="337" s="1"/>
  <c r="E23" i="335"/>
  <c r="F23" i="335" s="1"/>
  <c r="E11" i="341"/>
  <c r="F11" i="341" s="1"/>
  <c r="G11" i="341" s="1"/>
  <c r="H11" i="341" s="1"/>
  <c r="I11" i="341" s="1"/>
  <c r="J11" i="341" s="1"/>
  <c r="K11" i="341" s="1"/>
  <c r="L11" i="341" s="1"/>
  <c r="M11" i="341" s="1"/>
  <c r="N11" i="341" s="1"/>
  <c r="O11" i="341" s="1"/>
  <c r="P11" i="341" s="1"/>
  <c r="Q11" i="341" s="1"/>
  <c r="R11" i="341" s="1"/>
  <c r="S11" i="341" s="1"/>
  <c r="T11" i="341" s="1"/>
  <c r="U11" i="341" s="1"/>
  <c r="V11" i="341" s="1"/>
  <c r="W11" i="341" s="1"/>
  <c r="X11" i="341" s="1"/>
  <c r="Y11" i="341" s="1"/>
  <c r="Z11" i="341" s="1"/>
  <c r="AA11" i="341" s="1"/>
  <c r="AB11" i="341" s="1"/>
  <c r="AC11" i="341" s="1"/>
  <c r="AD11" i="341" s="1"/>
  <c r="AE11" i="341" s="1"/>
  <c r="AF11" i="341" s="1"/>
  <c r="AG11" i="341" s="1"/>
  <c r="AH11" i="341" s="1"/>
  <c r="AH10" i="341" s="1"/>
  <c r="E11" i="342"/>
  <c r="F11" i="342" s="1"/>
  <c r="G11" i="342" s="1"/>
  <c r="H11" i="342" s="1"/>
  <c r="I11" i="342" s="1"/>
  <c r="J11" i="342" s="1"/>
  <c r="K11" i="342" s="1"/>
  <c r="L11" i="342" s="1"/>
  <c r="M11" i="342" s="1"/>
  <c r="N11" i="342" s="1"/>
  <c r="O11" i="342" s="1"/>
  <c r="P11" i="342" s="1"/>
  <c r="Q11" i="342" s="1"/>
  <c r="R11" i="342" s="1"/>
  <c r="S11" i="342" s="1"/>
  <c r="T11" i="342" s="1"/>
  <c r="U11" i="342" s="1"/>
  <c r="V11" i="342" s="1"/>
  <c r="W11" i="342" s="1"/>
  <c r="X11" i="342" s="1"/>
  <c r="Y11" i="342" s="1"/>
  <c r="Z11" i="342" s="1"/>
  <c r="AA11" i="342" s="1"/>
  <c r="AB11" i="342" s="1"/>
  <c r="AC11" i="342" s="1"/>
  <c r="AD11" i="342" s="1"/>
  <c r="AE11" i="342" s="1"/>
  <c r="AF11" i="342" s="1"/>
  <c r="AG11" i="342" s="1"/>
  <c r="AH11" i="342" s="1"/>
  <c r="AH10" i="342" s="1"/>
  <c r="S28" i="347"/>
  <c r="D22" i="347"/>
  <c r="D10" i="347"/>
  <c r="S28" i="345"/>
  <c r="E23" i="345"/>
  <c r="E23" i="342"/>
  <c r="E23" i="330"/>
  <c r="E23" i="329"/>
  <c r="E23" i="294"/>
  <c r="E23" i="323"/>
  <c r="E23" i="322"/>
  <c r="E23" i="309"/>
  <c r="E23" i="307"/>
  <c r="E23" i="306"/>
  <c r="E23" i="303"/>
  <c r="E23" i="298"/>
  <c r="E23" i="292"/>
  <c r="F23" i="292" s="1"/>
  <c r="E23" i="289"/>
  <c r="E23" i="324"/>
  <c r="E22" i="324" s="1"/>
  <c r="E23" i="319"/>
  <c r="E23" i="282"/>
  <c r="E22" i="282" s="1"/>
  <c r="E23" i="281"/>
  <c r="E23" i="280"/>
  <c r="E23" i="279"/>
  <c r="E23" i="276"/>
  <c r="E23" i="316"/>
  <c r="E23" i="338"/>
  <c r="E22" i="338" s="1"/>
  <c r="E23" i="336"/>
  <c r="E23" i="334"/>
  <c r="E23" i="305"/>
  <c r="F23" i="305" s="1"/>
  <c r="E11" i="338"/>
  <c r="F11" i="338" s="1"/>
  <c r="G11" i="338" s="1"/>
  <c r="H11" i="338" s="1"/>
  <c r="I11" i="338" s="1"/>
  <c r="J11" i="338" s="1"/>
  <c r="K11" i="338" s="1"/>
  <c r="L11" i="338" s="1"/>
  <c r="M11" i="338" s="1"/>
  <c r="N11" i="338" s="1"/>
  <c r="O11" i="338" s="1"/>
  <c r="P11" i="338" s="1"/>
  <c r="Q11" i="338" s="1"/>
  <c r="R11" i="338" s="1"/>
  <c r="S11" i="338" s="1"/>
  <c r="T11" i="338" s="1"/>
  <c r="U11" i="338" s="1"/>
  <c r="V11" i="338" s="1"/>
  <c r="W11" i="338" s="1"/>
  <c r="X11" i="338" s="1"/>
  <c r="Y11" i="338" s="1"/>
  <c r="Z11" i="338" s="1"/>
  <c r="AA11" i="338" s="1"/>
  <c r="AB11" i="338" s="1"/>
  <c r="AC11" i="338" s="1"/>
  <c r="AD11" i="338" s="1"/>
  <c r="AE11" i="338" s="1"/>
  <c r="AF11" i="338" s="1"/>
  <c r="AG11" i="338" s="1"/>
  <c r="AH11" i="338" s="1"/>
  <c r="AH10" i="338" s="1"/>
  <c r="E11" i="337"/>
  <c r="F11" i="337" s="1"/>
  <c r="G11" i="337" s="1"/>
  <c r="H11" i="337" s="1"/>
  <c r="I11" i="337" s="1"/>
  <c r="J11" i="337" s="1"/>
  <c r="K11" i="337" s="1"/>
  <c r="L11" i="337" s="1"/>
  <c r="M11" i="337" s="1"/>
  <c r="N11" i="337" s="1"/>
  <c r="O11" i="337" s="1"/>
  <c r="P11" i="337" s="1"/>
  <c r="Q11" i="337" s="1"/>
  <c r="R11" i="337" s="1"/>
  <c r="S11" i="337" s="1"/>
  <c r="T11" i="337" s="1"/>
  <c r="U11" i="337" s="1"/>
  <c r="V11" i="337" s="1"/>
  <c r="W11" i="337" s="1"/>
  <c r="X11" i="337" s="1"/>
  <c r="Y11" i="337" s="1"/>
  <c r="Z11" i="337" s="1"/>
  <c r="AA11" i="337" s="1"/>
  <c r="AB11" i="337" s="1"/>
  <c r="AC11" i="337" s="1"/>
  <c r="AD11" i="337" s="1"/>
  <c r="AE11" i="337" s="1"/>
  <c r="AF11" i="337" s="1"/>
  <c r="AG11" i="337" s="1"/>
  <c r="AH11" i="337" s="1"/>
  <c r="AH10" i="337" s="1"/>
  <c r="E11" i="334"/>
  <c r="F11" i="334" s="1"/>
  <c r="G11" i="334" s="1"/>
  <c r="H11" i="334" s="1"/>
  <c r="I11" i="334" s="1"/>
  <c r="J11" i="334" s="1"/>
  <c r="K11" i="334" s="1"/>
  <c r="L11" i="334" s="1"/>
  <c r="M11" i="334" s="1"/>
  <c r="N11" i="334" s="1"/>
  <c r="O11" i="334" s="1"/>
  <c r="P11" i="334" s="1"/>
  <c r="Q11" i="334" s="1"/>
  <c r="R11" i="334" s="1"/>
  <c r="S11" i="334" s="1"/>
  <c r="T11" i="334" s="1"/>
  <c r="U11" i="334" s="1"/>
  <c r="V11" i="334" s="1"/>
  <c r="W11" i="334" s="1"/>
  <c r="X11" i="334" s="1"/>
  <c r="Y11" i="334" s="1"/>
  <c r="Z11" i="334" s="1"/>
  <c r="AA11" i="334" s="1"/>
  <c r="AB11" i="334" s="1"/>
  <c r="AC11" i="334" s="1"/>
  <c r="AD11" i="334" s="1"/>
  <c r="AE11" i="334" s="1"/>
  <c r="AF11" i="334" s="1"/>
  <c r="AG11" i="334" s="1"/>
  <c r="AH11" i="334" s="1"/>
  <c r="AH10" i="334" s="1"/>
  <c r="D22" i="345"/>
  <c r="D22" i="342"/>
  <c r="D10" i="345"/>
  <c r="D10" i="342"/>
  <c r="S28" i="324"/>
  <c r="S28" i="342"/>
  <c r="S28" i="294"/>
  <c r="S28" i="305"/>
  <c r="S28" i="307"/>
  <c r="S28" i="309"/>
  <c r="E11" i="316"/>
  <c r="F11" i="316" s="1"/>
  <c r="G11" i="316" s="1"/>
  <c r="H11" i="316" s="1"/>
  <c r="I11" i="316" s="1"/>
  <c r="J11" i="316" s="1"/>
  <c r="K11" i="316" s="1"/>
  <c r="L11" i="316" s="1"/>
  <c r="M11" i="316" s="1"/>
  <c r="N11" i="316" s="1"/>
  <c r="O11" i="316" s="1"/>
  <c r="P11" i="316" s="1"/>
  <c r="Q11" i="316" s="1"/>
  <c r="R11" i="316" s="1"/>
  <c r="S11" i="316" s="1"/>
  <c r="T11" i="316" s="1"/>
  <c r="U11" i="316" s="1"/>
  <c r="V11" i="316" s="1"/>
  <c r="W11" i="316" s="1"/>
  <c r="X11" i="316" s="1"/>
  <c r="Y11" i="316" s="1"/>
  <c r="Z11" i="316" s="1"/>
  <c r="AA11" i="316" s="1"/>
  <c r="AB11" i="316" s="1"/>
  <c r="AC11" i="316" s="1"/>
  <c r="AD11" i="316" s="1"/>
  <c r="AE11" i="316" s="1"/>
  <c r="AF11" i="316" s="1"/>
  <c r="AG11" i="316" s="1"/>
  <c r="AH11" i="316" s="1"/>
  <c r="AH10" i="316" s="1"/>
  <c r="E11" i="330"/>
  <c r="F11" i="330" s="1"/>
  <c r="G11" i="330" s="1"/>
  <c r="H11" i="330" s="1"/>
  <c r="I11" i="330" s="1"/>
  <c r="J11" i="330" s="1"/>
  <c r="K11" i="330" s="1"/>
  <c r="L11" i="330" s="1"/>
  <c r="M11" i="330" s="1"/>
  <c r="N11" i="330" s="1"/>
  <c r="O11" i="330" s="1"/>
  <c r="P11" i="330" s="1"/>
  <c r="Q11" i="330" s="1"/>
  <c r="R11" i="330" s="1"/>
  <c r="S11" i="330" s="1"/>
  <c r="T11" i="330" s="1"/>
  <c r="U11" i="330" s="1"/>
  <c r="V11" i="330" s="1"/>
  <c r="W11" i="330" s="1"/>
  <c r="X11" i="330" s="1"/>
  <c r="Y11" i="330" s="1"/>
  <c r="Z11" i="330" s="1"/>
  <c r="AA11" i="330" s="1"/>
  <c r="AB11" i="330" s="1"/>
  <c r="AC11" i="330" s="1"/>
  <c r="AD11" i="330" s="1"/>
  <c r="AE11" i="330" s="1"/>
  <c r="AF11" i="330" s="1"/>
  <c r="AG11" i="330" s="1"/>
  <c r="AH11" i="330" s="1"/>
  <c r="AH10" i="330" s="1"/>
  <c r="E11" i="329"/>
  <c r="F11" i="329" s="1"/>
  <c r="G11" i="329" s="1"/>
  <c r="H11" i="329" s="1"/>
  <c r="I11" i="329" s="1"/>
  <c r="J11" i="329" s="1"/>
  <c r="K11" i="329" s="1"/>
  <c r="L11" i="329" s="1"/>
  <c r="M11" i="329" s="1"/>
  <c r="N11" i="329" s="1"/>
  <c r="O11" i="329" s="1"/>
  <c r="P11" i="329" s="1"/>
  <c r="Q11" i="329" s="1"/>
  <c r="R11" i="329" s="1"/>
  <c r="S11" i="329" s="1"/>
  <c r="T11" i="329" s="1"/>
  <c r="U11" i="329" s="1"/>
  <c r="V11" i="329" s="1"/>
  <c r="W11" i="329" s="1"/>
  <c r="X11" i="329" s="1"/>
  <c r="Y11" i="329" s="1"/>
  <c r="Z11" i="329" s="1"/>
  <c r="AA11" i="329" s="1"/>
  <c r="AB11" i="329" s="1"/>
  <c r="AC11" i="329" s="1"/>
  <c r="AD11" i="329" s="1"/>
  <c r="AE11" i="329" s="1"/>
  <c r="AF11" i="329" s="1"/>
  <c r="AG11" i="329" s="1"/>
  <c r="AH11" i="329" s="1"/>
  <c r="AH10" i="329" s="1"/>
  <c r="E11" i="324"/>
  <c r="F11" i="324" s="1"/>
  <c r="G11" i="324" s="1"/>
  <c r="H11" i="324" s="1"/>
  <c r="I11" i="324" s="1"/>
  <c r="J11" i="324" s="1"/>
  <c r="K11" i="324" s="1"/>
  <c r="L11" i="324" s="1"/>
  <c r="M11" i="324" s="1"/>
  <c r="N11" i="324" s="1"/>
  <c r="O11" i="324" s="1"/>
  <c r="P11" i="324" s="1"/>
  <c r="Q11" i="324" s="1"/>
  <c r="R11" i="324" s="1"/>
  <c r="S11" i="324" s="1"/>
  <c r="T11" i="324" s="1"/>
  <c r="U11" i="324" s="1"/>
  <c r="V11" i="324" s="1"/>
  <c r="W11" i="324" s="1"/>
  <c r="X11" i="324" s="1"/>
  <c r="Y11" i="324" s="1"/>
  <c r="Z11" i="324" s="1"/>
  <c r="AA11" i="324" s="1"/>
  <c r="AB11" i="324" s="1"/>
  <c r="AC11" i="324" s="1"/>
  <c r="AD11" i="324" s="1"/>
  <c r="AE11" i="324" s="1"/>
  <c r="AF11" i="324" s="1"/>
  <c r="AG11" i="324" s="1"/>
  <c r="AH11" i="324" s="1"/>
  <c r="AH10" i="324" s="1"/>
  <c r="S28" i="330"/>
  <c r="E11" i="323"/>
  <c r="F11" i="323" s="1"/>
  <c r="G11" i="323" s="1"/>
  <c r="H11" i="323" s="1"/>
  <c r="I11" i="323" s="1"/>
  <c r="J11" i="323" s="1"/>
  <c r="K11" i="323" s="1"/>
  <c r="L11" i="323" s="1"/>
  <c r="M11" i="323" s="1"/>
  <c r="N11" i="323" s="1"/>
  <c r="O11" i="323" s="1"/>
  <c r="P11" i="323" s="1"/>
  <c r="Q11" i="323" s="1"/>
  <c r="R11" i="323" s="1"/>
  <c r="S11" i="323" s="1"/>
  <c r="T11" i="323" s="1"/>
  <c r="U11" i="323" s="1"/>
  <c r="V11" i="323" s="1"/>
  <c r="W11" i="323" s="1"/>
  <c r="X11" i="323" s="1"/>
  <c r="Y11" i="323" s="1"/>
  <c r="Z11" i="323" s="1"/>
  <c r="AA11" i="323" s="1"/>
  <c r="AB11" i="323" s="1"/>
  <c r="AC11" i="323" s="1"/>
  <c r="AD11" i="323" s="1"/>
  <c r="AE11" i="323" s="1"/>
  <c r="AF11" i="323" s="1"/>
  <c r="AG11" i="323" s="1"/>
  <c r="AH11" i="323" s="1"/>
  <c r="AH10" i="323" s="1"/>
  <c r="E11" i="322"/>
  <c r="F11" i="322" s="1"/>
  <c r="G11" i="322" s="1"/>
  <c r="H11" i="322" s="1"/>
  <c r="I11" i="322" s="1"/>
  <c r="J11" i="322" s="1"/>
  <c r="K11" i="322" s="1"/>
  <c r="L11" i="322" s="1"/>
  <c r="M11" i="322" s="1"/>
  <c r="N11" i="322" s="1"/>
  <c r="O11" i="322" s="1"/>
  <c r="P11" i="322" s="1"/>
  <c r="Q11" i="322" s="1"/>
  <c r="R11" i="322" s="1"/>
  <c r="S11" i="322" s="1"/>
  <c r="T11" i="322" s="1"/>
  <c r="U11" i="322" s="1"/>
  <c r="V11" i="322" s="1"/>
  <c r="W11" i="322" s="1"/>
  <c r="X11" i="322" s="1"/>
  <c r="Y11" i="322" s="1"/>
  <c r="Z11" i="322" s="1"/>
  <c r="AA11" i="322" s="1"/>
  <c r="AB11" i="322" s="1"/>
  <c r="AC11" i="322" s="1"/>
  <c r="AD11" i="322" s="1"/>
  <c r="AE11" i="322" s="1"/>
  <c r="AF11" i="322" s="1"/>
  <c r="AG11" i="322" s="1"/>
  <c r="AH11" i="322" s="1"/>
  <c r="AH10" i="322" s="1"/>
  <c r="E11" i="298"/>
  <c r="F11" i="298" s="1"/>
  <c r="G11" i="298" s="1"/>
  <c r="H11" i="298" s="1"/>
  <c r="I11" i="298" s="1"/>
  <c r="J11" i="298" s="1"/>
  <c r="K11" i="298" s="1"/>
  <c r="L11" i="298" s="1"/>
  <c r="M11" i="298" s="1"/>
  <c r="N11" i="298" s="1"/>
  <c r="O11" i="298" s="1"/>
  <c r="P11" i="298" s="1"/>
  <c r="Q11" i="298" s="1"/>
  <c r="R11" i="298" s="1"/>
  <c r="S11" i="298" s="1"/>
  <c r="T11" i="298" s="1"/>
  <c r="U11" i="298" s="1"/>
  <c r="V11" i="298" s="1"/>
  <c r="W11" i="298" s="1"/>
  <c r="X11" i="298" s="1"/>
  <c r="Y11" i="298" s="1"/>
  <c r="Z11" i="298" s="1"/>
  <c r="AA11" i="298" s="1"/>
  <c r="AB11" i="298" s="1"/>
  <c r="AC11" i="298" s="1"/>
  <c r="AD11" i="298" s="1"/>
  <c r="AE11" i="298" s="1"/>
  <c r="AF11" i="298" s="1"/>
  <c r="AG11" i="298" s="1"/>
  <c r="AH11" i="298" s="1"/>
  <c r="AH10" i="298" s="1"/>
  <c r="E11" i="306"/>
  <c r="F11" i="306" s="1"/>
  <c r="G11" i="306" s="1"/>
  <c r="H11" i="306" s="1"/>
  <c r="I11" i="306" s="1"/>
  <c r="J11" i="306" s="1"/>
  <c r="K11" i="306" s="1"/>
  <c r="L11" i="306" s="1"/>
  <c r="M11" i="306" s="1"/>
  <c r="N11" i="306" s="1"/>
  <c r="O11" i="306" s="1"/>
  <c r="P11" i="306" s="1"/>
  <c r="Q11" i="306" s="1"/>
  <c r="R11" i="306" s="1"/>
  <c r="S11" i="306" s="1"/>
  <c r="T11" i="306" s="1"/>
  <c r="U11" i="306" s="1"/>
  <c r="V11" i="306" s="1"/>
  <c r="W11" i="306" s="1"/>
  <c r="X11" i="306" s="1"/>
  <c r="Y11" i="306" s="1"/>
  <c r="Z11" i="306" s="1"/>
  <c r="AA11" i="306" s="1"/>
  <c r="AB11" i="306" s="1"/>
  <c r="AC11" i="306" s="1"/>
  <c r="AD11" i="306" s="1"/>
  <c r="AE11" i="306" s="1"/>
  <c r="AF11" i="306" s="1"/>
  <c r="AG11" i="306" s="1"/>
  <c r="AH11" i="306" s="1"/>
  <c r="AH10" i="306" s="1"/>
  <c r="E11" i="305"/>
  <c r="F11" i="305" s="1"/>
  <c r="G11" i="305" s="1"/>
  <c r="H11" i="305" s="1"/>
  <c r="I11" i="305" s="1"/>
  <c r="J11" i="305" s="1"/>
  <c r="K11" i="305" s="1"/>
  <c r="L11" i="305" s="1"/>
  <c r="M11" i="305" s="1"/>
  <c r="N11" i="305" s="1"/>
  <c r="O11" i="305" s="1"/>
  <c r="P11" i="305" s="1"/>
  <c r="Q11" i="305" s="1"/>
  <c r="R11" i="305" s="1"/>
  <c r="S11" i="305" s="1"/>
  <c r="T11" i="305" s="1"/>
  <c r="U11" i="305" s="1"/>
  <c r="V11" i="305" s="1"/>
  <c r="W11" i="305" s="1"/>
  <c r="X11" i="305" s="1"/>
  <c r="Y11" i="305" s="1"/>
  <c r="Z11" i="305" s="1"/>
  <c r="AA11" i="305" s="1"/>
  <c r="AB11" i="305" s="1"/>
  <c r="AC11" i="305" s="1"/>
  <c r="AD11" i="305" s="1"/>
  <c r="AE11" i="305" s="1"/>
  <c r="AF11" i="305" s="1"/>
  <c r="AG11" i="305" s="1"/>
  <c r="AH11" i="305" s="1"/>
  <c r="AH10" i="305" s="1"/>
  <c r="E11" i="303"/>
  <c r="F11" i="303" s="1"/>
  <c r="G11" i="303" s="1"/>
  <c r="H11" i="303" s="1"/>
  <c r="I11" i="303" s="1"/>
  <c r="J11" i="303" s="1"/>
  <c r="K11" i="303" s="1"/>
  <c r="L11" i="303" s="1"/>
  <c r="M11" i="303" s="1"/>
  <c r="N11" i="303" s="1"/>
  <c r="O11" i="303" s="1"/>
  <c r="P11" i="303" s="1"/>
  <c r="Q11" i="303" s="1"/>
  <c r="R11" i="303" s="1"/>
  <c r="S11" i="303" s="1"/>
  <c r="T11" i="303" s="1"/>
  <c r="U11" i="303" s="1"/>
  <c r="V11" i="303" s="1"/>
  <c r="W11" i="303" s="1"/>
  <c r="X11" i="303" s="1"/>
  <c r="Y11" i="303" s="1"/>
  <c r="Z11" i="303" s="1"/>
  <c r="AA11" i="303" s="1"/>
  <c r="AB11" i="303" s="1"/>
  <c r="AC11" i="303" s="1"/>
  <c r="AD11" i="303" s="1"/>
  <c r="AE11" i="303" s="1"/>
  <c r="AF11" i="303" s="1"/>
  <c r="AG11" i="303" s="1"/>
  <c r="AH11" i="303" s="1"/>
  <c r="AH10" i="303" s="1"/>
  <c r="E11" i="294"/>
  <c r="F11" i="294" s="1"/>
  <c r="G11" i="294" s="1"/>
  <c r="H11" i="294" s="1"/>
  <c r="I11" i="294" s="1"/>
  <c r="J11" i="294" s="1"/>
  <c r="K11" i="294" s="1"/>
  <c r="L11" i="294" s="1"/>
  <c r="M11" i="294" s="1"/>
  <c r="N11" i="294" s="1"/>
  <c r="O11" i="294" s="1"/>
  <c r="P11" i="294" s="1"/>
  <c r="Q11" i="294" s="1"/>
  <c r="R11" i="294" s="1"/>
  <c r="S11" i="294" s="1"/>
  <c r="T11" i="294" s="1"/>
  <c r="U11" i="294" s="1"/>
  <c r="V11" i="294" s="1"/>
  <c r="W11" i="294" s="1"/>
  <c r="X11" i="294" s="1"/>
  <c r="Y11" i="294" s="1"/>
  <c r="Z11" i="294" s="1"/>
  <c r="AA11" i="294" s="1"/>
  <c r="AB11" i="294" s="1"/>
  <c r="AC11" i="294" s="1"/>
  <c r="AD11" i="294" s="1"/>
  <c r="AE11" i="294" s="1"/>
  <c r="AF11" i="294" s="1"/>
  <c r="AG11" i="294" s="1"/>
  <c r="AH11" i="294" s="1"/>
  <c r="AH10" i="294" s="1"/>
  <c r="E11" i="292"/>
  <c r="F11" i="292" s="1"/>
  <c r="G11" i="292" s="1"/>
  <c r="H11" i="292" s="1"/>
  <c r="I11" i="292" s="1"/>
  <c r="J11" i="292" s="1"/>
  <c r="K11" i="292" s="1"/>
  <c r="L11" i="292" s="1"/>
  <c r="M11" i="292" s="1"/>
  <c r="N11" i="292" s="1"/>
  <c r="O11" i="292" s="1"/>
  <c r="P11" i="292" s="1"/>
  <c r="Q11" i="292" s="1"/>
  <c r="R11" i="292" s="1"/>
  <c r="S11" i="292" s="1"/>
  <c r="T11" i="292" s="1"/>
  <c r="U11" i="292" s="1"/>
  <c r="V11" i="292" s="1"/>
  <c r="W11" i="292" s="1"/>
  <c r="X11" i="292" s="1"/>
  <c r="Y11" i="292" s="1"/>
  <c r="Z11" i="292" s="1"/>
  <c r="AA11" i="292" s="1"/>
  <c r="AB11" i="292" s="1"/>
  <c r="AC11" i="292" s="1"/>
  <c r="AD11" i="292" s="1"/>
  <c r="AE11" i="292" s="1"/>
  <c r="AF11" i="292" s="1"/>
  <c r="AG11" i="292" s="1"/>
  <c r="AH11" i="292" s="1"/>
  <c r="AH10" i="292" s="1"/>
  <c r="E11" i="289"/>
  <c r="F11" i="289" s="1"/>
  <c r="G11" i="289" s="1"/>
  <c r="H11" i="289" s="1"/>
  <c r="I11" i="289" s="1"/>
  <c r="J11" i="289" s="1"/>
  <c r="K11" i="289" s="1"/>
  <c r="L11" i="289" s="1"/>
  <c r="M11" i="289" s="1"/>
  <c r="N11" i="289" s="1"/>
  <c r="O11" i="289" s="1"/>
  <c r="P11" i="289" s="1"/>
  <c r="Q11" i="289" s="1"/>
  <c r="R11" i="289" s="1"/>
  <c r="S11" i="289" s="1"/>
  <c r="T11" i="289" s="1"/>
  <c r="U11" i="289" s="1"/>
  <c r="V11" i="289" s="1"/>
  <c r="W11" i="289" s="1"/>
  <c r="X11" i="289" s="1"/>
  <c r="Y11" i="289" s="1"/>
  <c r="Z11" i="289" s="1"/>
  <c r="AA11" i="289" s="1"/>
  <c r="AB11" i="289" s="1"/>
  <c r="AC11" i="289" s="1"/>
  <c r="AD11" i="289" s="1"/>
  <c r="AE11" i="289" s="1"/>
  <c r="AF11" i="289" s="1"/>
  <c r="AG11" i="289" s="1"/>
  <c r="AH11" i="289" s="1"/>
  <c r="AH10" i="289" s="1"/>
  <c r="E11" i="282"/>
  <c r="F11" i="282" s="1"/>
  <c r="G11" i="282" s="1"/>
  <c r="H11" i="282" s="1"/>
  <c r="I11" i="282" s="1"/>
  <c r="J11" i="282" s="1"/>
  <c r="K11" i="282" s="1"/>
  <c r="L11" i="282" s="1"/>
  <c r="M11" i="282" s="1"/>
  <c r="N11" i="282" s="1"/>
  <c r="O11" i="282" s="1"/>
  <c r="P11" i="282" s="1"/>
  <c r="Q11" i="282" s="1"/>
  <c r="R11" i="282" s="1"/>
  <c r="S11" i="282" s="1"/>
  <c r="T11" i="282" s="1"/>
  <c r="U11" i="282" s="1"/>
  <c r="V11" i="282" s="1"/>
  <c r="W11" i="282" s="1"/>
  <c r="X11" i="282" s="1"/>
  <c r="Y11" i="282" s="1"/>
  <c r="Z11" i="282" s="1"/>
  <c r="AA11" i="282" s="1"/>
  <c r="AB11" i="282" s="1"/>
  <c r="AC11" i="282" s="1"/>
  <c r="AD11" i="282" s="1"/>
  <c r="AE11" i="282" s="1"/>
  <c r="AF11" i="282" s="1"/>
  <c r="AG11" i="282" s="1"/>
  <c r="AH11" i="282" s="1"/>
  <c r="AH10" i="282" s="1"/>
  <c r="E11" i="336"/>
  <c r="F11" i="336" s="1"/>
  <c r="G11" i="336" s="1"/>
  <c r="H11" i="336" s="1"/>
  <c r="I11" i="336" s="1"/>
  <c r="J11" i="336" s="1"/>
  <c r="K11" i="336" s="1"/>
  <c r="L11" i="336" s="1"/>
  <c r="M11" i="336" s="1"/>
  <c r="N11" i="336" s="1"/>
  <c r="O11" i="336" s="1"/>
  <c r="P11" i="336" s="1"/>
  <c r="Q11" i="336" s="1"/>
  <c r="R11" i="336" s="1"/>
  <c r="S11" i="336" s="1"/>
  <c r="T11" i="336" s="1"/>
  <c r="U11" i="336" s="1"/>
  <c r="V11" i="336" s="1"/>
  <c r="W11" i="336" s="1"/>
  <c r="X11" i="336" s="1"/>
  <c r="Y11" i="336" s="1"/>
  <c r="Z11" i="336" s="1"/>
  <c r="AA11" i="336" s="1"/>
  <c r="AB11" i="336" s="1"/>
  <c r="AC11" i="336" s="1"/>
  <c r="AD11" i="336" s="1"/>
  <c r="AE11" i="336" s="1"/>
  <c r="AF11" i="336" s="1"/>
  <c r="AG11" i="336" s="1"/>
  <c r="AH11" i="336" s="1"/>
  <c r="AH10" i="336" s="1"/>
  <c r="E11" i="309"/>
  <c r="F11" i="309" s="1"/>
  <c r="G11" i="309" s="1"/>
  <c r="H11" i="309" s="1"/>
  <c r="I11" i="309" s="1"/>
  <c r="J11" i="309" s="1"/>
  <c r="K11" i="309" s="1"/>
  <c r="L11" i="309" s="1"/>
  <c r="M11" i="309" s="1"/>
  <c r="N11" i="309" s="1"/>
  <c r="O11" i="309" s="1"/>
  <c r="P11" i="309" s="1"/>
  <c r="Q11" i="309" s="1"/>
  <c r="R11" i="309" s="1"/>
  <c r="S11" i="309" s="1"/>
  <c r="T11" i="309" s="1"/>
  <c r="U11" i="309" s="1"/>
  <c r="V11" i="309" s="1"/>
  <c r="W11" i="309" s="1"/>
  <c r="X11" i="309" s="1"/>
  <c r="Y11" i="309" s="1"/>
  <c r="Z11" i="309" s="1"/>
  <c r="AA11" i="309" s="1"/>
  <c r="AB11" i="309" s="1"/>
  <c r="AC11" i="309" s="1"/>
  <c r="AD11" i="309" s="1"/>
  <c r="AE11" i="309" s="1"/>
  <c r="AF11" i="309" s="1"/>
  <c r="AG11" i="309" s="1"/>
  <c r="AH11" i="309" s="1"/>
  <c r="AH10" i="309" s="1"/>
  <c r="E11" i="280"/>
  <c r="F11" i="280" s="1"/>
  <c r="G11" i="280" s="1"/>
  <c r="H11" i="280" s="1"/>
  <c r="I11" i="280" s="1"/>
  <c r="J11" i="280" s="1"/>
  <c r="K11" i="280" s="1"/>
  <c r="L11" i="280" s="1"/>
  <c r="M11" i="280" s="1"/>
  <c r="N11" i="280" s="1"/>
  <c r="O11" i="280" s="1"/>
  <c r="P11" i="280" s="1"/>
  <c r="Q11" i="280" s="1"/>
  <c r="R11" i="280" s="1"/>
  <c r="S11" i="280" s="1"/>
  <c r="T11" i="280" s="1"/>
  <c r="U11" i="280" s="1"/>
  <c r="V11" i="280" s="1"/>
  <c r="W11" i="280" s="1"/>
  <c r="X11" i="280" s="1"/>
  <c r="Y11" i="280" s="1"/>
  <c r="Z11" i="280" s="1"/>
  <c r="AA11" i="280" s="1"/>
  <c r="AB11" i="280" s="1"/>
  <c r="AC11" i="280" s="1"/>
  <c r="AD11" i="280" s="1"/>
  <c r="AE11" i="280" s="1"/>
  <c r="AF11" i="280" s="1"/>
  <c r="AG11" i="280" s="1"/>
  <c r="AH11" i="280" s="1"/>
  <c r="AH10" i="280" s="1"/>
  <c r="E11" i="281"/>
  <c r="F11" i="281" s="1"/>
  <c r="G11" i="281" s="1"/>
  <c r="H11" i="281" s="1"/>
  <c r="I11" i="281" s="1"/>
  <c r="J11" i="281" s="1"/>
  <c r="K11" i="281" s="1"/>
  <c r="L11" i="281" s="1"/>
  <c r="M11" i="281" s="1"/>
  <c r="N11" i="281" s="1"/>
  <c r="O11" i="281" s="1"/>
  <c r="P11" i="281" s="1"/>
  <c r="Q11" i="281" s="1"/>
  <c r="R11" i="281" s="1"/>
  <c r="S11" i="281" s="1"/>
  <c r="T11" i="281" s="1"/>
  <c r="U11" i="281" s="1"/>
  <c r="V11" i="281" s="1"/>
  <c r="W11" i="281" s="1"/>
  <c r="X11" i="281" s="1"/>
  <c r="Y11" i="281" s="1"/>
  <c r="Z11" i="281" s="1"/>
  <c r="AA11" i="281" s="1"/>
  <c r="AB11" i="281" s="1"/>
  <c r="AC11" i="281" s="1"/>
  <c r="AD11" i="281" s="1"/>
  <c r="AE11" i="281" s="1"/>
  <c r="AF11" i="281" s="1"/>
  <c r="AG11" i="281" s="1"/>
  <c r="AH11" i="281" s="1"/>
  <c r="AH10" i="281" s="1"/>
  <c r="E11" i="307"/>
  <c r="F11" i="307" s="1"/>
  <c r="G11" i="307" s="1"/>
  <c r="H11" i="307" s="1"/>
  <c r="I11" i="307" s="1"/>
  <c r="J11" i="307" s="1"/>
  <c r="K11" i="307" s="1"/>
  <c r="L11" i="307" s="1"/>
  <c r="M11" i="307" s="1"/>
  <c r="N11" i="307" s="1"/>
  <c r="O11" i="307" s="1"/>
  <c r="P11" i="307" s="1"/>
  <c r="Q11" i="307" s="1"/>
  <c r="R11" i="307" s="1"/>
  <c r="S11" i="307" s="1"/>
  <c r="T11" i="307" s="1"/>
  <c r="U11" i="307" s="1"/>
  <c r="V11" i="307" s="1"/>
  <c r="W11" i="307" s="1"/>
  <c r="X11" i="307" s="1"/>
  <c r="Y11" i="307" s="1"/>
  <c r="Z11" i="307" s="1"/>
  <c r="AA11" i="307" s="1"/>
  <c r="AB11" i="307" s="1"/>
  <c r="AC11" i="307" s="1"/>
  <c r="AD11" i="307" s="1"/>
  <c r="AE11" i="307" s="1"/>
  <c r="AF11" i="307" s="1"/>
  <c r="AG11" i="307" s="1"/>
  <c r="AH11" i="307" s="1"/>
  <c r="AH10" i="307" s="1"/>
  <c r="E11" i="279"/>
  <c r="F11" i="279" s="1"/>
  <c r="G11" i="279" s="1"/>
  <c r="H11" i="279" s="1"/>
  <c r="I11" i="279" s="1"/>
  <c r="J11" i="279" s="1"/>
  <c r="K11" i="279" s="1"/>
  <c r="L11" i="279" s="1"/>
  <c r="M11" i="279" s="1"/>
  <c r="N11" i="279" s="1"/>
  <c r="O11" i="279" s="1"/>
  <c r="P11" i="279" s="1"/>
  <c r="Q11" i="279" s="1"/>
  <c r="R11" i="279" s="1"/>
  <c r="S11" i="279" s="1"/>
  <c r="T11" i="279" s="1"/>
  <c r="U11" i="279" s="1"/>
  <c r="V11" i="279" s="1"/>
  <c r="W11" i="279" s="1"/>
  <c r="X11" i="279" s="1"/>
  <c r="Y11" i="279" s="1"/>
  <c r="Z11" i="279" s="1"/>
  <c r="AA11" i="279" s="1"/>
  <c r="AB11" i="279" s="1"/>
  <c r="AC11" i="279" s="1"/>
  <c r="AD11" i="279" s="1"/>
  <c r="AE11" i="279" s="1"/>
  <c r="AF11" i="279" s="1"/>
  <c r="AG11" i="279" s="1"/>
  <c r="AH11" i="279" s="1"/>
  <c r="AH10" i="279" s="1"/>
  <c r="E11" i="276"/>
  <c r="F11" i="276" s="1"/>
  <c r="G11" i="276" s="1"/>
  <c r="H11" i="276" s="1"/>
  <c r="I11" i="276" s="1"/>
  <c r="J11" i="276" s="1"/>
  <c r="K11" i="276" s="1"/>
  <c r="L11" i="276" s="1"/>
  <c r="M11" i="276" s="1"/>
  <c r="N11" i="276" s="1"/>
  <c r="O11" i="276" s="1"/>
  <c r="P11" i="276" s="1"/>
  <c r="Q11" i="276" s="1"/>
  <c r="R11" i="276" s="1"/>
  <c r="S11" i="276" s="1"/>
  <c r="T11" i="276" s="1"/>
  <c r="U11" i="276" s="1"/>
  <c r="V11" i="276" s="1"/>
  <c r="W11" i="276" s="1"/>
  <c r="X11" i="276" s="1"/>
  <c r="Y11" i="276" s="1"/>
  <c r="Z11" i="276" s="1"/>
  <c r="AA11" i="276" s="1"/>
  <c r="AB11" i="276" s="1"/>
  <c r="AC11" i="276" s="1"/>
  <c r="AD11" i="276" s="1"/>
  <c r="AE11" i="276" s="1"/>
  <c r="AF11" i="276" s="1"/>
  <c r="AG11" i="276" s="1"/>
  <c r="AH11" i="276" s="1"/>
  <c r="AH10" i="276" s="1"/>
  <c r="E11" i="335"/>
  <c r="F11" i="335" s="1"/>
  <c r="G11" i="335" s="1"/>
  <c r="H11" i="335" s="1"/>
  <c r="I11" i="335" s="1"/>
  <c r="J11" i="335" s="1"/>
  <c r="K11" i="335" s="1"/>
  <c r="L11" i="335" s="1"/>
  <c r="M11" i="335" s="1"/>
  <c r="N11" i="335" s="1"/>
  <c r="O11" i="335" s="1"/>
  <c r="P11" i="335" s="1"/>
  <c r="Q11" i="335" s="1"/>
  <c r="R11" i="335" s="1"/>
  <c r="S11" i="335" s="1"/>
  <c r="T11" i="335" s="1"/>
  <c r="U11" i="335" s="1"/>
  <c r="V11" i="335" s="1"/>
  <c r="W11" i="335" s="1"/>
  <c r="X11" i="335" s="1"/>
  <c r="Y11" i="335" s="1"/>
  <c r="Z11" i="335" s="1"/>
  <c r="AA11" i="335" s="1"/>
  <c r="AB11" i="335" s="1"/>
  <c r="AC11" i="335" s="1"/>
  <c r="AD11" i="335" s="1"/>
  <c r="AE11" i="335" s="1"/>
  <c r="AF11" i="335" s="1"/>
  <c r="AG11" i="335" s="1"/>
  <c r="AH11" i="335" s="1"/>
  <c r="AH10" i="335" s="1"/>
  <c r="E11" i="319"/>
  <c r="F11" i="319" s="1"/>
  <c r="G11" i="319" s="1"/>
  <c r="H11" i="319" s="1"/>
  <c r="I11" i="319" s="1"/>
  <c r="J11" i="319" s="1"/>
  <c r="K11" i="319" s="1"/>
  <c r="L11" i="319" s="1"/>
  <c r="M11" i="319" s="1"/>
  <c r="N11" i="319" s="1"/>
  <c r="O11" i="319" s="1"/>
  <c r="P11" i="319" s="1"/>
  <c r="Q11" i="319" s="1"/>
  <c r="R11" i="319" s="1"/>
  <c r="S11" i="319" s="1"/>
  <c r="T11" i="319" s="1"/>
  <c r="U11" i="319" s="1"/>
  <c r="V11" i="319" s="1"/>
  <c r="W11" i="319" s="1"/>
  <c r="X11" i="319" s="1"/>
  <c r="Y11" i="319" s="1"/>
  <c r="Z11" i="319" s="1"/>
  <c r="AA11" i="319" s="1"/>
  <c r="AB11" i="319" s="1"/>
  <c r="AC11" i="319" s="1"/>
  <c r="AD11" i="319" s="1"/>
  <c r="AE11" i="319" s="1"/>
  <c r="AF11" i="319" s="1"/>
  <c r="AG11" i="319" s="1"/>
  <c r="AH11" i="319" s="1"/>
  <c r="AH10" i="319" s="1"/>
  <c r="F23" i="324"/>
  <c r="E22" i="341"/>
  <c r="F23" i="341"/>
  <c r="F23" i="289"/>
  <c r="E22" i="289"/>
  <c r="F23" i="282"/>
  <c r="E22" i="316"/>
  <c r="F23" i="316"/>
  <c r="E22" i="305"/>
  <c r="S28" i="279"/>
  <c r="D22" i="341"/>
  <c r="D22" i="330"/>
  <c r="D22" i="329"/>
  <c r="D22" i="338"/>
  <c r="D22" i="337"/>
  <c r="D22" i="336"/>
  <c r="D22" i="316"/>
  <c r="D22" i="335"/>
  <c r="D22" i="298"/>
  <c r="D22" i="334"/>
  <c r="D22" i="294"/>
  <c r="D22" i="292"/>
  <c r="D22" i="323"/>
  <c r="D22" i="322"/>
  <c r="D22" i="282"/>
  <c r="D22" i="280"/>
  <c r="D22" i="276"/>
  <c r="D22" i="324"/>
  <c r="D22" i="319"/>
  <c r="D22" i="289"/>
  <c r="D22" i="309"/>
  <c r="D22" i="307"/>
  <c r="D22" i="306"/>
  <c r="D22" i="305"/>
  <c r="D22" i="281"/>
  <c r="D22" i="303"/>
  <c r="D22" i="279"/>
  <c r="F1" i="1"/>
  <c r="D10" i="341"/>
  <c r="D10" i="338"/>
  <c r="D10" i="337"/>
  <c r="D10" i="336"/>
  <c r="D10" i="335"/>
  <c r="D10" i="334"/>
  <c r="D10" i="324"/>
  <c r="D10" i="323"/>
  <c r="D10" i="322"/>
  <c r="D10" i="316"/>
  <c r="D10" i="309"/>
  <c r="D10" i="307"/>
  <c r="D10" i="306"/>
  <c r="D10" i="305"/>
  <c r="D10" i="303"/>
  <c r="D10" i="276"/>
  <c r="D10" i="329"/>
  <c r="D10" i="294"/>
  <c r="D10" i="319"/>
  <c r="D10" i="289"/>
  <c r="D10" i="292"/>
  <c r="D10" i="330"/>
  <c r="D10" i="298"/>
  <c r="D10" i="281"/>
  <c r="D10" i="280"/>
  <c r="D10" i="282"/>
  <c r="D10" i="279"/>
  <c r="S28" i="335"/>
  <c r="S28" i="337"/>
  <c r="S28" i="282"/>
  <c r="S28" i="306"/>
  <c r="S28" i="334"/>
  <c r="S28" i="338"/>
  <c r="S28" i="341"/>
  <c r="S28" i="281"/>
  <c r="S28" i="298"/>
  <c r="S28" i="289"/>
  <c r="S28" i="303"/>
  <c r="S28" i="280"/>
  <c r="S28" i="292"/>
  <c r="S28" i="336"/>
  <c r="S28" i="329"/>
  <c r="S28" i="316"/>
  <c r="S28" i="322"/>
  <c r="S28" i="323"/>
  <c r="S28" i="319"/>
  <c r="S28" i="276"/>
  <c r="G2" i="1"/>
  <c r="G23" i="386" l="1"/>
  <c r="F22" i="386"/>
  <c r="E10" i="384"/>
  <c r="E10" i="386"/>
  <c r="F23" i="382"/>
  <c r="E22" i="382"/>
  <c r="F23" i="381"/>
  <c r="E22" i="381"/>
  <c r="G23" i="375"/>
  <c r="F22" i="375"/>
  <c r="F23" i="379"/>
  <c r="E22" i="379"/>
  <c r="F23" i="378"/>
  <c r="E22" i="378"/>
  <c r="F23" i="384"/>
  <c r="E22" i="384"/>
  <c r="F23" i="377"/>
  <c r="E22" i="377"/>
  <c r="F23" i="374"/>
  <c r="E22" i="374"/>
  <c r="E10" i="379"/>
  <c r="E10" i="382"/>
  <c r="E10" i="381"/>
  <c r="E10" i="378"/>
  <c r="E10" i="375"/>
  <c r="E10" i="377"/>
  <c r="E10" i="374"/>
  <c r="F23" i="370"/>
  <c r="E22" i="370"/>
  <c r="G23" i="371"/>
  <c r="F22" i="371"/>
  <c r="E10" i="369"/>
  <c r="E10" i="371"/>
  <c r="E10" i="370"/>
  <c r="E22" i="292"/>
  <c r="F23" i="363"/>
  <c r="E22" i="363"/>
  <c r="F23" i="362"/>
  <c r="E22" i="362"/>
  <c r="F23" i="368"/>
  <c r="E22" i="368"/>
  <c r="F23" i="367"/>
  <c r="E22" i="367"/>
  <c r="F23" i="360"/>
  <c r="E22" i="360"/>
  <c r="F23" i="361"/>
  <c r="E22" i="361"/>
  <c r="F23" i="364"/>
  <c r="E22" i="364"/>
  <c r="G23" i="351"/>
  <c r="F22" i="351"/>
  <c r="G23" i="369"/>
  <c r="F22" i="369"/>
  <c r="F23" i="359"/>
  <c r="E22" i="359"/>
  <c r="E22" i="356"/>
  <c r="F23" i="356"/>
  <c r="E10" i="367"/>
  <c r="E10" i="368"/>
  <c r="E10" i="361"/>
  <c r="E10" i="363"/>
  <c r="E10" i="356"/>
  <c r="E10" i="360"/>
  <c r="E10" i="362"/>
  <c r="E10" i="359"/>
  <c r="E10" i="364"/>
  <c r="E10" i="351"/>
  <c r="F23" i="338"/>
  <c r="G23" i="338" s="1"/>
  <c r="F23" i="337"/>
  <c r="E22" i="335"/>
  <c r="E22" i="347"/>
  <c r="AN2" i="1"/>
  <c r="AM1" i="1"/>
  <c r="F22" i="347"/>
  <c r="G23" i="347"/>
  <c r="E22" i="345"/>
  <c r="F23" i="345"/>
  <c r="G23" i="345" s="1"/>
  <c r="E22" i="330"/>
  <c r="F23" i="330"/>
  <c r="F22" i="330" s="1"/>
  <c r="E22" i="329"/>
  <c r="F23" i="329"/>
  <c r="F23" i="294"/>
  <c r="E22" i="294"/>
  <c r="E22" i="323"/>
  <c r="F23" i="323"/>
  <c r="E22" i="322"/>
  <c r="F23" i="322"/>
  <c r="F23" i="309"/>
  <c r="E22" i="309"/>
  <c r="F23" i="307"/>
  <c r="E22" i="307"/>
  <c r="E22" i="306"/>
  <c r="F23" i="306"/>
  <c r="G23" i="306" s="1"/>
  <c r="F23" i="303"/>
  <c r="E22" i="303"/>
  <c r="E22" i="298"/>
  <c r="F23" i="298"/>
  <c r="E10" i="347"/>
  <c r="E22" i="342"/>
  <c r="F23" i="342"/>
  <c r="F23" i="319"/>
  <c r="F22" i="319" s="1"/>
  <c r="E22" i="319"/>
  <c r="E22" i="281"/>
  <c r="F23" i="281"/>
  <c r="F22" i="281" s="1"/>
  <c r="F23" i="280"/>
  <c r="E22" i="280"/>
  <c r="F23" i="279"/>
  <c r="F22" i="279" s="1"/>
  <c r="E22" i="279"/>
  <c r="E22" i="276"/>
  <c r="F23" i="276"/>
  <c r="G23" i="276" s="1"/>
  <c r="F23" i="336"/>
  <c r="F22" i="336" s="1"/>
  <c r="E22" i="336"/>
  <c r="E22" i="334"/>
  <c r="F23" i="334"/>
  <c r="F22" i="334" s="1"/>
  <c r="E10" i="345"/>
  <c r="E10" i="342"/>
  <c r="F22" i="292"/>
  <c r="G23" i="292"/>
  <c r="F22" i="324"/>
  <c r="G23" i="324"/>
  <c r="G23" i="279"/>
  <c r="G23" i="336"/>
  <c r="G23" i="341"/>
  <c r="F22" i="341"/>
  <c r="F22" i="337"/>
  <c r="G23" i="337"/>
  <c r="F22" i="335"/>
  <c r="G23" i="335"/>
  <c r="F22" i="303"/>
  <c r="G23" i="303"/>
  <c r="F22" i="289"/>
  <c r="G23" i="289"/>
  <c r="F22" i="282"/>
  <c r="G23" i="282"/>
  <c r="G23" i="316"/>
  <c r="F22" i="316"/>
  <c r="F22" i="305"/>
  <c r="G23" i="305"/>
  <c r="E10" i="341"/>
  <c r="E10" i="338"/>
  <c r="E10" i="337"/>
  <c r="E10" i="336"/>
  <c r="E10" i="335"/>
  <c r="E10" i="334"/>
  <c r="E10" i="324"/>
  <c r="E10" i="323"/>
  <c r="E10" i="322"/>
  <c r="E10" i="316"/>
  <c r="E10" i="309"/>
  <c r="E10" i="307"/>
  <c r="E10" i="306"/>
  <c r="E10" i="305"/>
  <c r="E10" i="303"/>
  <c r="E10" i="329"/>
  <c r="E10" i="298"/>
  <c r="E10" i="294"/>
  <c r="E10" i="292"/>
  <c r="E10" i="282"/>
  <c r="E10" i="280"/>
  <c r="E10" i="276"/>
  <c r="E10" i="330"/>
  <c r="E10" i="319"/>
  <c r="E10" i="289"/>
  <c r="E10" i="281"/>
  <c r="E10" i="279"/>
  <c r="G1" i="1"/>
  <c r="H2" i="1"/>
  <c r="H23" i="386" l="1"/>
  <c r="G22" i="386"/>
  <c r="F10" i="384"/>
  <c r="F10" i="386"/>
  <c r="F22" i="374"/>
  <c r="G23" i="374"/>
  <c r="G23" i="379"/>
  <c r="F22" i="379"/>
  <c r="F22" i="377"/>
  <c r="G23" i="377"/>
  <c r="H23" i="375"/>
  <c r="G22" i="375"/>
  <c r="G23" i="384"/>
  <c r="F22" i="384"/>
  <c r="G23" i="381"/>
  <c r="F22" i="381"/>
  <c r="F22" i="378"/>
  <c r="G23" i="378"/>
  <c r="G23" i="382"/>
  <c r="F22" i="382"/>
  <c r="F10" i="382"/>
  <c r="F10" i="378"/>
  <c r="F10" i="381"/>
  <c r="F10" i="379"/>
  <c r="F10" i="375"/>
  <c r="F10" i="377"/>
  <c r="F10" i="374"/>
  <c r="H23" i="371"/>
  <c r="G22" i="371"/>
  <c r="G23" i="281"/>
  <c r="H23" i="281" s="1"/>
  <c r="G23" i="370"/>
  <c r="F22" i="370"/>
  <c r="F10" i="369"/>
  <c r="F10" i="371"/>
  <c r="F10" i="370"/>
  <c r="G23" i="356"/>
  <c r="F22" i="356"/>
  <c r="G23" i="367"/>
  <c r="F22" i="367"/>
  <c r="F22" i="368"/>
  <c r="G23" i="368"/>
  <c r="F22" i="276"/>
  <c r="G23" i="361"/>
  <c r="F22" i="361"/>
  <c r="G23" i="362"/>
  <c r="F22" i="362"/>
  <c r="G23" i="359"/>
  <c r="F22" i="359"/>
  <c r="H23" i="351"/>
  <c r="G22" i="351"/>
  <c r="F22" i="338"/>
  <c r="G23" i="360"/>
  <c r="F22" i="360"/>
  <c r="G23" i="363"/>
  <c r="F22" i="363"/>
  <c r="F22" i="345"/>
  <c r="H23" i="369"/>
  <c r="G22" i="369"/>
  <c r="G23" i="364"/>
  <c r="F22" i="364"/>
  <c r="F10" i="367"/>
  <c r="F10" i="368"/>
  <c r="F10" i="361"/>
  <c r="F10" i="356"/>
  <c r="F10" i="363"/>
  <c r="F10" i="360"/>
  <c r="F10" i="362"/>
  <c r="F10" i="359"/>
  <c r="F10" i="364"/>
  <c r="F10" i="351"/>
  <c r="G23" i="330"/>
  <c r="F22" i="306"/>
  <c r="G23" i="319"/>
  <c r="G22" i="319" s="1"/>
  <c r="G23" i="334"/>
  <c r="G22" i="334" s="1"/>
  <c r="AO2" i="1"/>
  <c r="AN1" i="1"/>
  <c r="G22" i="347"/>
  <c r="H23" i="347"/>
  <c r="G23" i="329"/>
  <c r="H23" i="329" s="1"/>
  <c r="F22" i="329"/>
  <c r="G23" i="294"/>
  <c r="F22" i="294"/>
  <c r="F22" i="323"/>
  <c r="G23" i="323"/>
  <c r="H23" i="323" s="1"/>
  <c r="F22" i="322"/>
  <c r="G23" i="322"/>
  <c r="G22" i="322" s="1"/>
  <c r="F22" i="309"/>
  <c r="G23" i="309"/>
  <c r="H23" i="309" s="1"/>
  <c r="F22" i="307"/>
  <c r="G23" i="307"/>
  <c r="H23" i="307" s="1"/>
  <c r="F22" i="298"/>
  <c r="G23" i="298"/>
  <c r="H23" i="298" s="1"/>
  <c r="F10" i="347"/>
  <c r="F22" i="342"/>
  <c r="G23" i="342"/>
  <c r="G23" i="280"/>
  <c r="F22" i="280"/>
  <c r="G22" i="345"/>
  <c r="H23" i="345"/>
  <c r="F10" i="345"/>
  <c r="F10" i="342"/>
  <c r="H23" i="330"/>
  <c r="G22" i="330"/>
  <c r="H23" i="292"/>
  <c r="G22" i="292"/>
  <c r="G22" i="324"/>
  <c r="H23" i="324"/>
  <c r="H23" i="319"/>
  <c r="H23" i="279"/>
  <c r="G22" i="279"/>
  <c r="G22" i="276"/>
  <c r="H23" i="276"/>
  <c r="G22" i="336"/>
  <c r="H23" i="336"/>
  <c r="H23" i="334"/>
  <c r="G22" i="341"/>
  <c r="H23" i="341"/>
  <c r="H23" i="337"/>
  <c r="G22" i="337"/>
  <c r="G22" i="335"/>
  <c r="H23" i="335"/>
  <c r="H23" i="294"/>
  <c r="G22" i="294"/>
  <c r="G22" i="323"/>
  <c r="G22" i="307"/>
  <c r="G22" i="306"/>
  <c r="H23" i="306"/>
  <c r="G22" i="303"/>
  <c r="H23" i="303"/>
  <c r="H23" i="289"/>
  <c r="G22" i="289"/>
  <c r="H23" i="282"/>
  <c r="G22" i="282"/>
  <c r="G22" i="316"/>
  <c r="H23" i="316"/>
  <c r="G22" i="338"/>
  <c r="H23" i="338"/>
  <c r="H23" i="305"/>
  <c r="G22" i="305"/>
  <c r="I2" i="1"/>
  <c r="F10" i="316"/>
  <c r="F10" i="341"/>
  <c r="F10" i="330"/>
  <c r="F10" i="329"/>
  <c r="F10" i="338"/>
  <c r="F10" i="319"/>
  <c r="F10" i="337"/>
  <c r="F10" i="336"/>
  <c r="F10" i="335"/>
  <c r="F10" i="334"/>
  <c r="F10" i="298"/>
  <c r="F10" i="324"/>
  <c r="F10" i="323"/>
  <c r="F10" i="294"/>
  <c r="F10" i="322"/>
  <c r="F10" i="292"/>
  <c r="F10" i="282"/>
  <c r="F10" i="276"/>
  <c r="F10" i="289"/>
  <c r="F10" i="309"/>
  <c r="F10" i="307"/>
  <c r="F10" i="281"/>
  <c r="F10" i="306"/>
  <c r="F10" i="280"/>
  <c r="F10" i="305"/>
  <c r="F10" i="279"/>
  <c r="F10" i="303"/>
  <c r="H1" i="1"/>
  <c r="H22" i="386" l="1"/>
  <c r="I23" i="386"/>
  <c r="G10" i="384"/>
  <c r="G10" i="386"/>
  <c r="G22" i="281"/>
  <c r="H23" i="382"/>
  <c r="G22" i="382"/>
  <c r="I23" i="375"/>
  <c r="H22" i="375"/>
  <c r="H23" i="378"/>
  <c r="G22" i="378"/>
  <c r="H23" i="377"/>
  <c r="G22" i="377"/>
  <c r="H23" i="322"/>
  <c r="G22" i="309"/>
  <c r="G22" i="298"/>
  <c r="H23" i="381"/>
  <c r="G22" i="381"/>
  <c r="H23" i="379"/>
  <c r="G22" i="379"/>
  <c r="H23" i="374"/>
  <c r="G22" i="374"/>
  <c r="H23" i="384"/>
  <c r="G22" i="384"/>
  <c r="G10" i="382"/>
  <c r="G10" i="379"/>
  <c r="G10" i="381"/>
  <c r="G10" i="378"/>
  <c r="G10" i="375"/>
  <c r="G10" i="377"/>
  <c r="G10" i="374"/>
  <c r="H23" i="370"/>
  <c r="G22" i="370"/>
  <c r="I23" i="371"/>
  <c r="H22" i="371"/>
  <c r="G10" i="369"/>
  <c r="G10" i="370"/>
  <c r="G10" i="371"/>
  <c r="H23" i="364"/>
  <c r="G22" i="364"/>
  <c r="H22" i="369"/>
  <c r="I23" i="369"/>
  <c r="H23" i="361"/>
  <c r="G22" i="361"/>
  <c r="I23" i="351"/>
  <c r="H22" i="351"/>
  <c r="H23" i="359"/>
  <c r="G22" i="359"/>
  <c r="H23" i="363"/>
  <c r="G22" i="363"/>
  <c r="G22" i="367"/>
  <c r="H23" i="367"/>
  <c r="H23" i="362"/>
  <c r="G22" i="362"/>
  <c r="H23" i="368"/>
  <c r="G22" i="368"/>
  <c r="G22" i="360"/>
  <c r="H23" i="360"/>
  <c r="H23" i="356"/>
  <c r="G22" i="356"/>
  <c r="G10" i="367"/>
  <c r="G10" i="368"/>
  <c r="G10" i="363"/>
  <c r="G10" i="360"/>
  <c r="G10" i="362"/>
  <c r="G10" i="359"/>
  <c r="G10" i="356"/>
  <c r="G10" i="364"/>
  <c r="G10" i="361"/>
  <c r="G10" i="351"/>
  <c r="G22" i="329"/>
  <c r="AO1" i="1"/>
  <c r="AP2" i="1"/>
  <c r="H22" i="347"/>
  <c r="I23" i="347"/>
  <c r="G10" i="347"/>
  <c r="G22" i="342"/>
  <c r="H23" i="342"/>
  <c r="H23" i="280"/>
  <c r="G22" i="280"/>
  <c r="H22" i="345"/>
  <c r="I23" i="345"/>
  <c r="G10" i="345"/>
  <c r="G10" i="342"/>
  <c r="H22" i="330"/>
  <c r="I23" i="330"/>
  <c r="H22" i="292"/>
  <c r="I23" i="292"/>
  <c r="H22" i="324"/>
  <c r="I23" i="324"/>
  <c r="H22" i="319"/>
  <c r="I23" i="319"/>
  <c r="H22" i="281"/>
  <c r="I23" i="281"/>
  <c r="I23" i="279"/>
  <c r="H22" i="279"/>
  <c r="H22" i="276"/>
  <c r="I23" i="276"/>
  <c r="H22" i="336"/>
  <c r="I23" i="336"/>
  <c r="I23" i="334"/>
  <c r="H22" i="334"/>
  <c r="H22" i="341"/>
  <c r="I23" i="341"/>
  <c r="H22" i="337"/>
  <c r="I23" i="337"/>
  <c r="I23" i="335"/>
  <c r="H22" i="335"/>
  <c r="H22" i="294"/>
  <c r="I23" i="294"/>
  <c r="I23" i="323"/>
  <c r="H22" i="323"/>
  <c r="H22" i="322"/>
  <c r="I23" i="322"/>
  <c r="I23" i="309"/>
  <c r="H22" i="309"/>
  <c r="I23" i="307"/>
  <c r="H22" i="307"/>
  <c r="I23" i="306"/>
  <c r="H22" i="306"/>
  <c r="H22" i="303"/>
  <c r="I23" i="303"/>
  <c r="I23" i="298"/>
  <c r="H22" i="298"/>
  <c r="H22" i="289"/>
  <c r="I23" i="289"/>
  <c r="H22" i="282"/>
  <c r="I23" i="282"/>
  <c r="I23" i="316"/>
  <c r="H22" i="316"/>
  <c r="I23" i="338"/>
  <c r="H22" i="338"/>
  <c r="H22" i="305"/>
  <c r="I23" i="305"/>
  <c r="H22" i="329"/>
  <c r="I23" i="329"/>
  <c r="J2" i="1"/>
  <c r="I1" i="1"/>
  <c r="G10" i="298"/>
  <c r="G10" i="276"/>
  <c r="G10" i="280"/>
  <c r="G10" i="279"/>
  <c r="G10" i="282"/>
  <c r="G10" i="281"/>
  <c r="G10" i="341"/>
  <c r="G10" i="292"/>
  <c r="G10" i="289"/>
  <c r="G10" i="329"/>
  <c r="G10" i="319"/>
  <c r="G10" i="330"/>
  <c r="G10" i="294"/>
  <c r="G10" i="303"/>
  <c r="G10" i="305"/>
  <c r="G10" i="306"/>
  <c r="G10" i="307"/>
  <c r="G10" i="309"/>
  <c r="G10" i="316"/>
  <c r="G10" i="322"/>
  <c r="G10" i="323"/>
  <c r="G10" i="324"/>
  <c r="G10" i="334"/>
  <c r="G10" i="335"/>
  <c r="G10" i="336"/>
  <c r="G10" i="337"/>
  <c r="G10" i="338"/>
  <c r="J23" i="386" l="1"/>
  <c r="I22" i="386"/>
  <c r="H10" i="384"/>
  <c r="H10" i="386"/>
  <c r="I23" i="377"/>
  <c r="H22" i="377"/>
  <c r="I23" i="379"/>
  <c r="H22" i="379"/>
  <c r="I23" i="378"/>
  <c r="H22" i="378"/>
  <c r="I23" i="381"/>
  <c r="H22" i="381"/>
  <c r="J23" i="375"/>
  <c r="I22" i="375"/>
  <c r="I23" i="384"/>
  <c r="H22" i="384"/>
  <c r="H22" i="382"/>
  <c r="I23" i="382"/>
  <c r="I23" i="374"/>
  <c r="H22" i="374"/>
  <c r="H10" i="379"/>
  <c r="H10" i="382"/>
  <c r="H10" i="378"/>
  <c r="H10" i="381"/>
  <c r="H10" i="375"/>
  <c r="H10" i="377"/>
  <c r="H10" i="374"/>
  <c r="J23" i="371"/>
  <c r="I22" i="371"/>
  <c r="I23" i="370"/>
  <c r="H22" i="370"/>
  <c r="H10" i="369"/>
  <c r="H10" i="370"/>
  <c r="H10" i="371"/>
  <c r="I23" i="368"/>
  <c r="H22" i="368"/>
  <c r="H22" i="367"/>
  <c r="I23" i="367"/>
  <c r="H22" i="360"/>
  <c r="I23" i="360"/>
  <c r="H22" i="363"/>
  <c r="I23" i="363"/>
  <c r="J23" i="351"/>
  <c r="I22" i="351"/>
  <c r="I23" i="361"/>
  <c r="H22" i="361"/>
  <c r="H22" i="356"/>
  <c r="I23" i="356"/>
  <c r="J23" i="369"/>
  <c r="I22" i="369"/>
  <c r="H22" i="362"/>
  <c r="I23" i="362"/>
  <c r="H22" i="359"/>
  <c r="I23" i="359"/>
  <c r="I23" i="364"/>
  <c r="H22" i="364"/>
  <c r="H10" i="367"/>
  <c r="H10" i="368"/>
  <c r="H10" i="360"/>
  <c r="H10" i="362"/>
  <c r="H10" i="359"/>
  <c r="H10" i="364"/>
  <c r="H10" i="361"/>
  <c r="H10" i="356"/>
  <c r="H10" i="363"/>
  <c r="H10" i="351"/>
  <c r="AP1" i="1"/>
  <c r="AQ2" i="1"/>
  <c r="I22" i="347"/>
  <c r="J23" i="347"/>
  <c r="H10" i="347"/>
  <c r="H22" i="342"/>
  <c r="I23" i="342"/>
  <c r="I23" i="280"/>
  <c r="H22" i="280"/>
  <c r="I22" i="345"/>
  <c r="J23" i="345"/>
  <c r="H10" i="345"/>
  <c r="H10" i="342"/>
  <c r="H10" i="316"/>
  <c r="H10" i="309"/>
  <c r="H10" i="307"/>
  <c r="H10" i="306"/>
  <c r="H10" i="305"/>
  <c r="H10" i="303"/>
  <c r="H10" i="289"/>
  <c r="I22" i="330"/>
  <c r="J23" i="330"/>
  <c r="I22" i="292"/>
  <c r="J23" i="292"/>
  <c r="I22" i="324"/>
  <c r="J23" i="324"/>
  <c r="J23" i="319"/>
  <c r="I22" i="319"/>
  <c r="I22" i="281"/>
  <c r="J23" i="281"/>
  <c r="I22" i="279"/>
  <c r="J23" i="279"/>
  <c r="J23" i="276"/>
  <c r="I22" i="276"/>
  <c r="J23" i="336"/>
  <c r="I22" i="336"/>
  <c r="I22" i="334"/>
  <c r="J23" i="334"/>
  <c r="J23" i="341"/>
  <c r="I22" i="341"/>
  <c r="J23" i="337"/>
  <c r="I22" i="337"/>
  <c r="J23" i="335"/>
  <c r="I22" i="335"/>
  <c r="I22" i="294"/>
  <c r="J23" i="294"/>
  <c r="I22" i="323"/>
  <c r="J23" i="323"/>
  <c r="I22" i="322"/>
  <c r="J23" i="322"/>
  <c r="I22" i="309"/>
  <c r="J23" i="309"/>
  <c r="J23" i="307"/>
  <c r="I22" i="307"/>
  <c r="I22" i="306"/>
  <c r="J23" i="306"/>
  <c r="I22" i="303"/>
  <c r="J23" i="303"/>
  <c r="J23" i="298"/>
  <c r="I22" i="298"/>
  <c r="J23" i="289"/>
  <c r="I22" i="289"/>
  <c r="I22" i="282"/>
  <c r="J23" i="282"/>
  <c r="I22" i="316"/>
  <c r="J23" i="316"/>
  <c r="J23" i="338"/>
  <c r="I22" i="338"/>
  <c r="J23" i="305"/>
  <c r="I22" i="305"/>
  <c r="J23" i="329"/>
  <c r="I22" i="329"/>
  <c r="H10" i="341"/>
  <c r="H10" i="338"/>
  <c r="H10" i="337"/>
  <c r="H10" i="336"/>
  <c r="H10" i="335"/>
  <c r="H10" i="334"/>
  <c r="H10" i="324"/>
  <c r="H10" i="323"/>
  <c r="H10" i="322"/>
  <c r="H10" i="281"/>
  <c r="H10" i="280"/>
  <c r="H10" i="279"/>
  <c r="H10" i="330"/>
  <c r="H10" i="329"/>
  <c r="H10" i="319"/>
  <c r="H10" i="298"/>
  <c r="H10" i="294"/>
  <c r="H10" i="292"/>
  <c r="H10" i="282"/>
  <c r="H10" i="276"/>
  <c r="K2" i="1"/>
  <c r="J1" i="1"/>
  <c r="K23" i="386" l="1"/>
  <c r="J22" i="386"/>
  <c r="I10" i="384"/>
  <c r="I10" i="386"/>
  <c r="J23" i="374"/>
  <c r="I22" i="374"/>
  <c r="J23" i="381"/>
  <c r="I22" i="381"/>
  <c r="J23" i="382"/>
  <c r="I22" i="382"/>
  <c r="J23" i="378"/>
  <c r="I22" i="378"/>
  <c r="J23" i="384"/>
  <c r="I22" i="384"/>
  <c r="J23" i="379"/>
  <c r="I22" i="379"/>
  <c r="K23" i="375"/>
  <c r="J22" i="375"/>
  <c r="I22" i="377"/>
  <c r="J23" i="377"/>
  <c r="I10" i="381"/>
  <c r="I10" i="378"/>
  <c r="I10" i="379"/>
  <c r="I10" i="382"/>
  <c r="I10" i="377"/>
  <c r="I10" i="374"/>
  <c r="I10" i="375"/>
  <c r="J23" i="370"/>
  <c r="I22" i="370"/>
  <c r="K23" i="371"/>
  <c r="J22" i="371"/>
  <c r="I10" i="369"/>
  <c r="I10" i="370"/>
  <c r="I10" i="371"/>
  <c r="I22" i="364"/>
  <c r="J23" i="364"/>
  <c r="J23" i="361"/>
  <c r="I22" i="361"/>
  <c r="K23" i="369"/>
  <c r="J22" i="369"/>
  <c r="J22" i="351"/>
  <c r="K23" i="351"/>
  <c r="J23" i="359"/>
  <c r="I22" i="359"/>
  <c r="J23" i="363"/>
  <c r="I22" i="363"/>
  <c r="J23" i="367"/>
  <c r="I22" i="367"/>
  <c r="J23" i="362"/>
  <c r="I22" i="362"/>
  <c r="J23" i="356"/>
  <c r="I22" i="356"/>
  <c r="J23" i="360"/>
  <c r="I22" i="360"/>
  <c r="J23" i="368"/>
  <c r="I22" i="368"/>
  <c r="I10" i="367"/>
  <c r="I10" i="368"/>
  <c r="I10" i="360"/>
  <c r="I10" i="362"/>
  <c r="I10" i="359"/>
  <c r="I10" i="364"/>
  <c r="I10" i="361"/>
  <c r="I10" i="356"/>
  <c r="I10" i="363"/>
  <c r="I10" i="351"/>
  <c r="AR2" i="1"/>
  <c r="AS2" i="1" s="1"/>
  <c r="AS1" i="1" s="1"/>
  <c r="AQ1" i="1"/>
  <c r="J22" i="347"/>
  <c r="K23" i="347"/>
  <c r="I10" i="347"/>
  <c r="I22" i="342"/>
  <c r="J23" i="342"/>
  <c r="J23" i="280"/>
  <c r="I22" i="280"/>
  <c r="J22" i="345"/>
  <c r="K23" i="345"/>
  <c r="I10" i="337"/>
  <c r="I10" i="345"/>
  <c r="I10" i="342"/>
  <c r="I10" i="341"/>
  <c r="I10" i="338"/>
  <c r="K23" i="330"/>
  <c r="J22" i="330"/>
  <c r="J22" i="292"/>
  <c r="K23" i="292"/>
  <c r="J22" i="324"/>
  <c r="K23" i="324"/>
  <c r="J22" i="319"/>
  <c r="K23" i="319"/>
  <c r="K23" i="281"/>
  <c r="J22" i="281"/>
  <c r="J22" i="279"/>
  <c r="K23" i="279"/>
  <c r="J22" i="276"/>
  <c r="K23" i="276"/>
  <c r="K23" i="336"/>
  <c r="J22" i="336"/>
  <c r="J22" i="334"/>
  <c r="K23" i="334"/>
  <c r="J22" i="341"/>
  <c r="K23" i="341"/>
  <c r="K23" i="337"/>
  <c r="J22" i="337"/>
  <c r="K23" i="335"/>
  <c r="J22" i="335"/>
  <c r="J22" i="294"/>
  <c r="K23" i="294"/>
  <c r="J22" i="323"/>
  <c r="K23" i="323"/>
  <c r="J22" i="322"/>
  <c r="K23" i="322"/>
  <c r="J22" i="309"/>
  <c r="K23" i="309"/>
  <c r="K23" i="307"/>
  <c r="J22" i="307"/>
  <c r="J22" i="306"/>
  <c r="K23" i="306"/>
  <c r="J22" i="303"/>
  <c r="K23" i="303"/>
  <c r="J22" i="298"/>
  <c r="K23" i="298"/>
  <c r="K23" i="289"/>
  <c r="J22" i="289"/>
  <c r="K23" i="282"/>
  <c r="J22" i="282"/>
  <c r="K23" i="316"/>
  <c r="J22" i="316"/>
  <c r="J22" i="338"/>
  <c r="K23" i="338"/>
  <c r="J22" i="305"/>
  <c r="K23" i="305"/>
  <c r="J22" i="329"/>
  <c r="K23" i="329"/>
  <c r="I10" i="336"/>
  <c r="I10" i="335"/>
  <c r="I10" i="334"/>
  <c r="I10" i="324"/>
  <c r="I10" i="323"/>
  <c r="I10" i="322"/>
  <c r="I10" i="316"/>
  <c r="I10" i="309"/>
  <c r="I10" i="307"/>
  <c r="I10" i="306"/>
  <c r="I10" i="305"/>
  <c r="I10" i="303"/>
  <c r="I10" i="329"/>
  <c r="I10" i="298"/>
  <c r="I10" i="294"/>
  <c r="I10" i="292"/>
  <c r="I10" i="282"/>
  <c r="I10" i="276"/>
  <c r="I10" i="330"/>
  <c r="I10" i="319"/>
  <c r="I10" i="289"/>
  <c r="I10" i="281"/>
  <c r="I10" i="280"/>
  <c r="I10" i="279"/>
  <c r="K1" i="1"/>
  <c r="L2" i="1"/>
  <c r="L23" i="386" l="1"/>
  <c r="K22" i="386"/>
  <c r="J10" i="384"/>
  <c r="J10" i="386"/>
  <c r="K23" i="377"/>
  <c r="J22" i="377"/>
  <c r="J22" i="378"/>
  <c r="K23" i="378"/>
  <c r="K22" i="375"/>
  <c r="L23" i="375"/>
  <c r="K23" i="382"/>
  <c r="J22" i="382"/>
  <c r="K23" i="379"/>
  <c r="J22" i="379"/>
  <c r="K23" i="381"/>
  <c r="J22" i="381"/>
  <c r="J22" i="384"/>
  <c r="K23" i="384"/>
  <c r="K23" i="374"/>
  <c r="J22" i="374"/>
  <c r="J10" i="382"/>
  <c r="J10" i="381"/>
  <c r="J10" i="379"/>
  <c r="J10" i="378"/>
  <c r="J10" i="377"/>
  <c r="J10" i="374"/>
  <c r="J10" i="375"/>
  <c r="L23" i="371"/>
  <c r="K22" i="371"/>
  <c r="J22" i="370"/>
  <c r="K23" i="370"/>
  <c r="J10" i="369"/>
  <c r="J10" i="371"/>
  <c r="J10" i="370"/>
  <c r="J22" i="363"/>
  <c r="K23" i="363"/>
  <c r="L23" i="351"/>
  <c r="K22" i="351"/>
  <c r="K23" i="368"/>
  <c r="J22" i="368"/>
  <c r="K23" i="360"/>
  <c r="J22" i="360"/>
  <c r="J22" i="367"/>
  <c r="K23" i="367"/>
  <c r="L23" i="369"/>
  <c r="K22" i="369"/>
  <c r="K23" i="361"/>
  <c r="J22" i="361"/>
  <c r="K23" i="356"/>
  <c r="J22" i="356"/>
  <c r="K23" i="364"/>
  <c r="J22" i="364"/>
  <c r="K23" i="362"/>
  <c r="J22" i="362"/>
  <c r="J22" i="359"/>
  <c r="K23" i="359"/>
  <c r="J10" i="367"/>
  <c r="J10" i="368"/>
  <c r="J10" i="359"/>
  <c r="J10" i="362"/>
  <c r="J10" i="364"/>
  <c r="J10" i="361"/>
  <c r="J10" i="356"/>
  <c r="J10" i="363"/>
  <c r="J10" i="360"/>
  <c r="J10" i="351"/>
  <c r="AR1" i="1"/>
  <c r="K22" i="347"/>
  <c r="L23" i="347"/>
  <c r="J10" i="347"/>
  <c r="J22" i="342"/>
  <c r="K23" i="342"/>
  <c r="K23" i="280"/>
  <c r="J22" i="280"/>
  <c r="K22" i="345"/>
  <c r="L23" i="345"/>
  <c r="J10" i="345"/>
  <c r="J10" i="342"/>
  <c r="K22" i="330"/>
  <c r="L23" i="330"/>
  <c r="L23" i="292"/>
  <c r="K22" i="292"/>
  <c r="K22" i="324"/>
  <c r="L23" i="324"/>
  <c r="K22" i="319"/>
  <c r="L23" i="319"/>
  <c r="K22" i="281"/>
  <c r="L23" i="281"/>
  <c r="L23" i="279"/>
  <c r="K22" i="279"/>
  <c r="L23" i="276"/>
  <c r="K22" i="276"/>
  <c r="L23" i="336"/>
  <c r="K22" i="336"/>
  <c r="L23" i="334"/>
  <c r="K22" i="334"/>
  <c r="K22" i="341"/>
  <c r="L23" i="341"/>
  <c r="K22" i="337"/>
  <c r="L23" i="337"/>
  <c r="K22" i="335"/>
  <c r="L23" i="335"/>
  <c r="K22" i="294"/>
  <c r="L23" i="294"/>
  <c r="K22" i="323"/>
  <c r="L23" i="323"/>
  <c r="K22" i="322"/>
  <c r="L23" i="322"/>
  <c r="K22" i="309"/>
  <c r="L23" i="309"/>
  <c r="K22" i="307"/>
  <c r="L23" i="307"/>
  <c r="K22" i="306"/>
  <c r="L23" i="306"/>
  <c r="K22" i="303"/>
  <c r="L23" i="303"/>
  <c r="K22" i="298"/>
  <c r="L23" i="298"/>
  <c r="K22" i="289"/>
  <c r="L23" i="289"/>
  <c r="L23" i="282"/>
  <c r="K22" i="282"/>
  <c r="K22" i="316"/>
  <c r="L23" i="316"/>
  <c r="K22" i="338"/>
  <c r="L23" i="338"/>
  <c r="L23" i="305"/>
  <c r="K22" i="305"/>
  <c r="L23" i="329"/>
  <c r="K22" i="329"/>
  <c r="J10" i="338"/>
  <c r="J10" i="337"/>
  <c r="J10" i="336"/>
  <c r="J10" i="335"/>
  <c r="J10" i="334"/>
  <c r="J10" i="324"/>
  <c r="J10" i="323"/>
  <c r="J10" i="322"/>
  <c r="J10" i="316"/>
  <c r="J10" i="309"/>
  <c r="J10" i="307"/>
  <c r="J10" i="306"/>
  <c r="J10" i="305"/>
  <c r="J10" i="303"/>
  <c r="J10" i="330"/>
  <c r="J10" i="329"/>
  <c r="J10" i="319"/>
  <c r="J10" i="298"/>
  <c r="J10" i="294"/>
  <c r="J10" i="292"/>
  <c r="J10" i="282"/>
  <c r="J10" i="280"/>
  <c r="J10" i="276"/>
  <c r="J10" i="289"/>
  <c r="J10" i="281"/>
  <c r="J10" i="279"/>
  <c r="J10" i="341"/>
  <c r="L1" i="1"/>
  <c r="M2" i="1"/>
  <c r="M23" i="386" l="1"/>
  <c r="L22" i="386"/>
  <c r="K10" i="384"/>
  <c r="K10" i="386"/>
  <c r="L23" i="374"/>
  <c r="K22" i="374"/>
  <c r="L23" i="382"/>
  <c r="K22" i="382"/>
  <c r="L23" i="384"/>
  <c r="K22" i="384"/>
  <c r="M23" i="375"/>
  <c r="L22" i="375"/>
  <c r="L23" i="378"/>
  <c r="K22" i="378"/>
  <c r="L23" i="381"/>
  <c r="K22" i="381"/>
  <c r="L23" i="379"/>
  <c r="K22" i="379"/>
  <c r="K22" i="377"/>
  <c r="L23" i="377"/>
  <c r="K10" i="381"/>
  <c r="K10" i="378"/>
  <c r="K10" i="379"/>
  <c r="K10" i="382"/>
  <c r="K10" i="374"/>
  <c r="K10" i="375"/>
  <c r="K10" i="377"/>
  <c r="L23" i="370"/>
  <c r="K22" i="370"/>
  <c r="M23" i="371"/>
  <c r="L22" i="371"/>
  <c r="K10" i="369"/>
  <c r="K10" i="370"/>
  <c r="K10" i="371"/>
  <c r="L23" i="356"/>
  <c r="K22" i="356"/>
  <c r="M23" i="369"/>
  <c r="L22" i="369"/>
  <c r="K22" i="368"/>
  <c r="L23" i="368"/>
  <c r="L23" i="359"/>
  <c r="K22" i="359"/>
  <c r="L23" i="367"/>
  <c r="K22" i="367"/>
  <c r="K22" i="362"/>
  <c r="L23" i="362"/>
  <c r="L23" i="360"/>
  <c r="K22" i="360"/>
  <c r="M23" i="351"/>
  <c r="L22" i="351"/>
  <c r="L23" i="363"/>
  <c r="K22" i="363"/>
  <c r="L23" i="364"/>
  <c r="K22" i="364"/>
  <c r="L23" i="361"/>
  <c r="K22" i="361"/>
  <c r="K10" i="367"/>
  <c r="K10" i="368"/>
  <c r="K10" i="362"/>
  <c r="K10" i="359"/>
  <c r="K10" i="364"/>
  <c r="K10" i="361"/>
  <c r="K10" i="356"/>
  <c r="K10" i="363"/>
  <c r="K10" i="360"/>
  <c r="K10" i="351"/>
  <c r="AT2" i="1"/>
  <c r="L22" i="347"/>
  <c r="M23" i="347"/>
  <c r="K10" i="347"/>
  <c r="K22" i="342"/>
  <c r="L23" i="342"/>
  <c r="L23" i="280"/>
  <c r="K22" i="280"/>
  <c r="L22" i="345"/>
  <c r="M23" i="345"/>
  <c r="K10" i="345"/>
  <c r="K10" i="342"/>
  <c r="M23" i="330"/>
  <c r="L22" i="330"/>
  <c r="L22" i="292"/>
  <c r="M23" i="292"/>
  <c r="M23" i="324"/>
  <c r="L22" i="324"/>
  <c r="L22" i="319"/>
  <c r="M23" i="319"/>
  <c r="M23" i="281"/>
  <c r="L22" i="281"/>
  <c r="L22" i="279"/>
  <c r="M23" i="279"/>
  <c r="L22" i="276"/>
  <c r="M23" i="276"/>
  <c r="M23" i="336"/>
  <c r="L22" i="336"/>
  <c r="M23" i="334"/>
  <c r="L22" i="334"/>
  <c r="L22" i="341"/>
  <c r="M23" i="341"/>
  <c r="L22" i="337"/>
  <c r="M23" i="337"/>
  <c r="L22" i="335"/>
  <c r="M23" i="335"/>
  <c r="M23" i="294"/>
  <c r="L22" i="294"/>
  <c r="M23" i="323"/>
  <c r="L22" i="323"/>
  <c r="L22" i="322"/>
  <c r="M23" i="322"/>
  <c r="L22" i="309"/>
  <c r="M23" i="309"/>
  <c r="L22" i="307"/>
  <c r="M23" i="307"/>
  <c r="M23" i="306"/>
  <c r="L22" i="306"/>
  <c r="M23" i="303"/>
  <c r="L22" i="303"/>
  <c r="L22" i="298"/>
  <c r="M23" i="298"/>
  <c r="M23" i="289"/>
  <c r="L22" i="289"/>
  <c r="M23" i="282"/>
  <c r="L22" i="282"/>
  <c r="L22" i="316"/>
  <c r="M23" i="316"/>
  <c r="M23" i="338"/>
  <c r="L22" i="338"/>
  <c r="M23" i="305"/>
  <c r="L22" i="305"/>
  <c r="M23" i="329"/>
  <c r="L22" i="329"/>
  <c r="K10" i="341"/>
  <c r="K10" i="338"/>
  <c r="K10" i="337"/>
  <c r="K10" i="336"/>
  <c r="K10" i="335"/>
  <c r="K10" i="334"/>
  <c r="K10" i="324"/>
  <c r="K10" i="323"/>
  <c r="K10" i="322"/>
  <c r="K10" i="316"/>
  <c r="K10" i="309"/>
  <c r="K10" i="307"/>
  <c r="K10" i="306"/>
  <c r="K10" i="305"/>
  <c r="K10" i="303"/>
  <c r="K10" i="329"/>
  <c r="K10" i="298"/>
  <c r="K10" i="294"/>
  <c r="K10" i="292"/>
  <c r="K10" i="282"/>
  <c r="K10" i="276"/>
  <c r="K10" i="330"/>
  <c r="K10" i="319"/>
  <c r="K10" i="289"/>
  <c r="K10" i="281"/>
  <c r="K10" i="280"/>
  <c r="K10" i="279"/>
  <c r="M1" i="1"/>
  <c r="N2" i="1"/>
  <c r="N23" i="386" l="1"/>
  <c r="M22" i="386"/>
  <c r="L10" i="384"/>
  <c r="L10" i="386"/>
  <c r="M23" i="377"/>
  <c r="L22" i="377"/>
  <c r="N23" i="375"/>
  <c r="M22" i="375"/>
  <c r="M23" i="379"/>
  <c r="L22" i="379"/>
  <c r="M23" i="384"/>
  <c r="L22" i="384"/>
  <c r="M23" i="381"/>
  <c r="L22" i="381"/>
  <c r="M23" i="382"/>
  <c r="L22" i="382"/>
  <c r="M23" i="378"/>
  <c r="L22" i="378"/>
  <c r="M23" i="374"/>
  <c r="L22" i="374"/>
  <c r="L10" i="379"/>
  <c r="L10" i="381"/>
  <c r="L10" i="378"/>
  <c r="L10" i="382"/>
  <c r="L10" i="375"/>
  <c r="L10" i="377"/>
  <c r="L10" i="374"/>
  <c r="N23" i="371"/>
  <c r="M22" i="371"/>
  <c r="M23" i="370"/>
  <c r="L22" i="370"/>
  <c r="L10" i="369"/>
  <c r="L10" i="370"/>
  <c r="L10" i="371"/>
  <c r="M23" i="368"/>
  <c r="L22" i="368"/>
  <c r="N23" i="351"/>
  <c r="M22" i="351"/>
  <c r="M23" i="361"/>
  <c r="L22" i="361"/>
  <c r="M23" i="360"/>
  <c r="L22" i="360"/>
  <c r="N23" i="369"/>
  <c r="M22" i="369"/>
  <c r="M23" i="364"/>
  <c r="L22" i="364"/>
  <c r="M23" i="367"/>
  <c r="L22" i="367"/>
  <c r="M23" i="356"/>
  <c r="L22" i="356"/>
  <c r="M23" i="362"/>
  <c r="L22" i="362"/>
  <c r="M23" i="363"/>
  <c r="L22" i="363"/>
  <c r="M23" i="359"/>
  <c r="L22" i="359"/>
  <c r="L10" i="367"/>
  <c r="L10" i="368"/>
  <c r="L10" i="364"/>
  <c r="L10" i="361"/>
  <c r="L10" i="356"/>
  <c r="L10" i="363"/>
  <c r="L10" i="360"/>
  <c r="L10" i="359"/>
  <c r="L10" i="362"/>
  <c r="L10" i="351"/>
  <c r="AU2" i="1"/>
  <c r="AT1" i="1"/>
  <c r="M22" i="347"/>
  <c r="N23" i="347"/>
  <c r="L10" i="347"/>
  <c r="L22" i="342"/>
  <c r="M23" i="342"/>
  <c r="L22" i="280"/>
  <c r="M23" i="280"/>
  <c r="M22" i="345"/>
  <c r="N23" i="345"/>
  <c r="L10" i="345"/>
  <c r="L10" i="342"/>
  <c r="L10" i="341"/>
  <c r="L10" i="338"/>
  <c r="L10" i="337"/>
  <c r="L10" i="336"/>
  <c r="L10" i="335"/>
  <c r="L10" i="334"/>
  <c r="L10" i="324"/>
  <c r="L10" i="323"/>
  <c r="L10" i="322"/>
  <c r="L10" i="316"/>
  <c r="L10" i="281"/>
  <c r="L10" i="279"/>
  <c r="N23" i="330"/>
  <c r="M22" i="330"/>
  <c r="N23" i="292"/>
  <c r="M22" i="292"/>
  <c r="N23" i="324"/>
  <c r="M22" i="324"/>
  <c r="M22" i="319"/>
  <c r="N23" i="319"/>
  <c r="N23" i="281"/>
  <c r="M22" i="281"/>
  <c r="N23" i="279"/>
  <c r="M22" i="279"/>
  <c r="M22" i="276"/>
  <c r="N23" i="276"/>
  <c r="M22" i="336"/>
  <c r="N23" i="336"/>
  <c r="N23" i="334"/>
  <c r="M22" i="334"/>
  <c r="M22" i="341"/>
  <c r="N23" i="341"/>
  <c r="M22" i="337"/>
  <c r="N23" i="337"/>
  <c r="N23" i="335"/>
  <c r="M22" i="335"/>
  <c r="N23" i="294"/>
  <c r="M22" i="294"/>
  <c r="M22" i="323"/>
  <c r="N23" i="323"/>
  <c r="M22" i="322"/>
  <c r="N23" i="322"/>
  <c r="M22" i="309"/>
  <c r="N23" i="309"/>
  <c r="N23" i="307"/>
  <c r="M22" i="307"/>
  <c r="N23" i="306"/>
  <c r="M22" i="306"/>
  <c r="N23" i="303"/>
  <c r="M22" i="303"/>
  <c r="N23" i="298"/>
  <c r="M22" i="298"/>
  <c r="N23" i="289"/>
  <c r="M22" i="289"/>
  <c r="N23" i="282"/>
  <c r="M22" i="282"/>
  <c r="M22" i="316"/>
  <c r="N23" i="316"/>
  <c r="M22" i="338"/>
  <c r="N23" i="338"/>
  <c r="N23" i="305"/>
  <c r="M22" i="305"/>
  <c r="N23" i="329"/>
  <c r="M22" i="329"/>
  <c r="L10" i="309"/>
  <c r="L10" i="307"/>
  <c r="L10" i="306"/>
  <c r="L10" i="305"/>
  <c r="L10" i="303"/>
  <c r="L10" i="330"/>
  <c r="L10" i="329"/>
  <c r="L10" i="319"/>
  <c r="L10" i="298"/>
  <c r="L10" i="294"/>
  <c r="L10" i="292"/>
  <c r="L10" i="282"/>
  <c r="L10" i="280"/>
  <c r="L10" i="276"/>
  <c r="L10" i="289"/>
  <c r="N1" i="1"/>
  <c r="O2" i="1"/>
  <c r="O23" i="386" l="1"/>
  <c r="N22" i="386"/>
  <c r="M10" i="384"/>
  <c r="M10" i="386"/>
  <c r="N23" i="374"/>
  <c r="M22" i="374"/>
  <c r="N23" i="384"/>
  <c r="M22" i="384"/>
  <c r="N23" i="378"/>
  <c r="M22" i="378"/>
  <c r="N23" i="379"/>
  <c r="M22" i="379"/>
  <c r="N23" i="382"/>
  <c r="M22" i="382"/>
  <c r="O23" i="375"/>
  <c r="N22" i="375"/>
  <c r="N23" i="381"/>
  <c r="M22" i="381"/>
  <c r="N23" i="377"/>
  <c r="M22" i="377"/>
  <c r="M10" i="379"/>
  <c r="M10" i="382"/>
  <c r="M10" i="381"/>
  <c r="M10" i="378"/>
  <c r="M10" i="375"/>
  <c r="M10" i="377"/>
  <c r="M10" i="374"/>
  <c r="N23" i="370"/>
  <c r="M22" i="370"/>
  <c r="O23" i="371"/>
  <c r="N22" i="371"/>
  <c r="M10" i="369"/>
  <c r="M10" i="371"/>
  <c r="M10" i="370"/>
  <c r="N23" i="356"/>
  <c r="M22" i="356"/>
  <c r="N22" i="369"/>
  <c r="O23" i="369"/>
  <c r="M22" i="359"/>
  <c r="N23" i="359"/>
  <c r="N23" i="367"/>
  <c r="M22" i="367"/>
  <c r="O23" i="351"/>
  <c r="N22" i="351"/>
  <c r="M22" i="363"/>
  <c r="N23" i="363"/>
  <c r="N23" i="360"/>
  <c r="M22" i="360"/>
  <c r="N23" i="362"/>
  <c r="M22" i="362"/>
  <c r="N23" i="364"/>
  <c r="M22" i="364"/>
  <c r="N23" i="361"/>
  <c r="M22" i="361"/>
  <c r="N23" i="368"/>
  <c r="M22" i="368"/>
  <c r="M10" i="367"/>
  <c r="M10" i="368"/>
  <c r="M10" i="361"/>
  <c r="M10" i="363"/>
  <c r="M10" i="356"/>
  <c r="M10" i="360"/>
  <c r="M10" i="362"/>
  <c r="M10" i="359"/>
  <c r="M10" i="364"/>
  <c r="M10" i="351"/>
  <c r="AU1" i="1"/>
  <c r="AV2" i="1"/>
  <c r="N22" i="347"/>
  <c r="O23" i="347"/>
  <c r="M10" i="323"/>
  <c r="M10" i="322"/>
  <c r="M10" i="324"/>
  <c r="M10" i="334"/>
  <c r="M10" i="336"/>
  <c r="M10" i="335"/>
  <c r="M10" i="337"/>
  <c r="M10" i="338"/>
  <c r="M10" i="316"/>
  <c r="M10" i="341"/>
  <c r="M10" i="347"/>
  <c r="M22" i="342"/>
  <c r="N23" i="342"/>
  <c r="M22" i="280"/>
  <c r="N23" i="280"/>
  <c r="N22" i="345"/>
  <c r="O23" i="345"/>
  <c r="M10" i="345"/>
  <c r="M10" i="342"/>
  <c r="O23" i="330"/>
  <c r="N22" i="330"/>
  <c r="O23" i="292"/>
  <c r="N22" i="292"/>
  <c r="N22" i="324"/>
  <c r="O23" i="324"/>
  <c r="N22" i="319"/>
  <c r="O23" i="319"/>
  <c r="N22" i="281"/>
  <c r="O23" i="281"/>
  <c r="O23" i="279"/>
  <c r="N22" i="279"/>
  <c r="N22" i="276"/>
  <c r="O23" i="276"/>
  <c r="N22" i="336"/>
  <c r="O23" i="336"/>
  <c r="N22" i="334"/>
  <c r="O23" i="334"/>
  <c r="O23" i="341"/>
  <c r="N22" i="341"/>
  <c r="N22" i="337"/>
  <c r="O23" i="337"/>
  <c r="N22" i="335"/>
  <c r="O23" i="335"/>
  <c r="N22" i="294"/>
  <c r="O23" i="294"/>
  <c r="O23" i="323"/>
  <c r="N22" i="323"/>
  <c r="N22" i="322"/>
  <c r="O23" i="322"/>
  <c r="O23" i="309"/>
  <c r="N22" i="309"/>
  <c r="O23" i="307"/>
  <c r="N22" i="307"/>
  <c r="N22" i="306"/>
  <c r="O23" i="306"/>
  <c r="O23" i="303"/>
  <c r="N22" i="303"/>
  <c r="N22" i="298"/>
  <c r="O23" i="298"/>
  <c r="O23" i="289"/>
  <c r="N22" i="289"/>
  <c r="N22" i="282"/>
  <c r="O23" i="282"/>
  <c r="N22" i="316"/>
  <c r="O23" i="316"/>
  <c r="N22" i="338"/>
  <c r="O23" i="338"/>
  <c r="N22" i="305"/>
  <c r="O23" i="305"/>
  <c r="N22" i="329"/>
  <c r="O23" i="329"/>
  <c r="M10" i="309"/>
  <c r="M10" i="307"/>
  <c r="M10" i="306"/>
  <c r="M10" i="305"/>
  <c r="M10" i="303"/>
  <c r="M10" i="329"/>
  <c r="M10" i="298"/>
  <c r="M10" i="294"/>
  <c r="M10" i="292"/>
  <c r="M10" i="282"/>
  <c r="M10" i="276"/>
  <c r="M10" i="330"/>
  <c r="M10" i="319"/>
  <c r="M10" i="281"/>
  <c r="M10" i="279"/>
  <c r="M10" i="289"/>
  <c r="M10" i="280"/>
  <c r="O1" i="1"/>
  <c r="P2" i="1"/>
  <c r="P23" i="386" l="1"/>
  <c r="O22" i="386"/>
  <c r="N10" i="384"/>
  <c r="N10" i="386"/>
  <c r="O23" i="377"/>
  <c r="N22" i="377"/>
  <c r="O23" i="379"/>
  <c r="N22" i="379"/>
  <c r="O23" i="381"/>
  <c r="N22" i="381"/>
  <c r="O23" i="378"/>
  <c r="N22" i="378"/>
  <c r="P23" i="375"/>
  <c r="O22" i="375"/>
  <c r="O23" i="384"/>
  <c r="N22" i="384"/>
  <c r="O23" i="382"/>
  <c r="N22" i="382"/>
  <c r="O23" i="374"/>
  <c r="N22" i="374"/>
  <c r="N10" i="382"/>
  <c r="N10" i="378"/>
  <c r="N10" i="381"/>
  <c r="N10" i="379"/>
  <c r="N10" i="375"/>
  <c r="N10" i="377"/>
  <c r="N10" i="374"/>
  <c r="P23" i="371"/>
  <c r="O22" i="371"/>
  <c r="O23" i="370"/>
  <c r="N22" i="370"/>
  <c r="N10" i="369"/>
  <c r="N10" i="371"/>
  <c r="N10" i="370"/>
  <c r="O23" i="368"/>
  <c r="N22" i="368"/>
  <c r="O23" i="360"/>
  <c r="N22" i="360"/>
  <c r="P23" i="351"/>
  <c r="O22" i="351"/>
  <c r="P23" i="369"/>
  <c r="O22" i="369"/>
  <c r="O23" i="361"/>
  <c r="N22" i="361"/>
  <c r="O23" i="363"/>
  <c r="N22" i="363"/>
  <c r="O23" i="364"/>
  <c r="N22" i="364"/>
  <c r="O23" i="367"/>
  <c r="N22" i="367"/>
  <c r="O23" i="356"/>
  <c r="N22" i="356"/>
  <c r="O23" i="359"/>
  <c r="N22" i="359"/>
  <c r="O23" i="362"/>
  <c r="N22" i="362"/>
  <c r="N10" i="367"/>
  <c r="N10" i="368"/>
  <c r="N10" i="361"/>
  <c r="N10" i="356"/>
  <c r="N10" i="363"/>
  <c r="N10" i="360"/>
  <c r="N10" i="362"/>
  <c r="N10" i="359"/>
  <c r="N10" i="364"/>
  <c r="N10" i="351"/>
  <c r="AW2" i="1"/>
  <c r="AV1" i="1"/>
  <c r="O22" i="347"/>
  <c r="P23" i="347"/>
  <c r="N10" i="347"/>
  <c r="N10" i="322"/>
  <c r="N22" i="342"/>
  <c r="O23" i="342"/>
  <c r="N22" i="280"/>
  <c r="O23" i="280"/>
  <c r="O22" i="345"/>
  <c r="P23" i="345"/>
  <c r="N10" i="323"/>
  <c r="N10" i="345"/>
  <c r="N10" i="342"/>
  <c r="N10" i="324"/>
  <c r="N10" i="334"/>
  <c r="N10" i="337"/>
  <c r="N10" i="336"/>
  <c r="N10" i="335"/>
  <c r="P23" i="330"/>
  <c r="O22" i="330"/>
  <c r="O22" i="292"/>
  <c r="P23" i="292"/>
  <c r="P23" i="324"/>
  <c r="O22" i="324"/>
  <c r="O22" i="319"/>
  <c r="P23" i="319"/>
  <c r="P23" i="281"/>
  <c r="O22" i="281"/>
  <c r="O22" i="279"/>
  <c r="P23" i="279"/>
  <c r="P23" i="276"/>
  <c r="O22" i="276"/>
  <c r="O22" i="336"/>
  <c r="P23" i="336"/>
  <c r="O22" i="334"/>
  <c r="P23" i="334"/>
  <c r="O22" i="341"/>
  <c r="P23" i="341"/>
  <c r="P23" i="337"/>
  <c r="O22" i="337"/>
  <c r="O22" i="335"/>
  <c r="P23" i="335"/>
  <c r="P23" i="294"/>
  <c r="O22" i="294"/>
  <c r="P23" i="323"/>
  <c r="O22" i="323"/>
  <c r="O22" i="322"/>
  <c r="P23" i="322"/>
  <c r="P23" i="309"/>
  <c r="O22" i="309"/>
  <c r="O22" i="307"/>
  <c r="P23" i="307"/>
  <c r="O22" i="306"/>
  <c r="P23" i="306"/>
  <c r="P23" i="303"/>
  <c r="O22" i="303"/>
  <c r="P23" i="298"/>
  <c r="O22" i="298"/>
  <c r="P23" i="289"/>
  <c r="O22" i="289"/>
  <c r="P23" i="282"/>
  <c r="O22" i="282"/>
  <c r="P23" i="316"/>
  <c r="O22" i="316"/>
  <c r="O22" i="338"/>
  <c r="P23" i="338"/>
  <c r="O22" i="305"/>
  <c r="P23" i="305"/>
  <c r="P23" i="329"/>
  <c r="O22" i="329"/>
  <c r="N10" i="316"/>
  <c r="N10" i="309"/>
  <c r="N10" i="307"/>
  <c r="N10" i="306"/>
  <c r="N10" i="305"/>
  <c r="N10" i="303"/>
  <c r="N10" i="330"/>
  <c r="N10" i="329"/>
  <c r="N10" i="319"/>
  <c r="N10" i="298"/>
  <c r="N10" i="294"/>
  <c r="N10" i="292"/>
  <c r="N10" i="282"/>
  <c r="N10" i="280"/>
  <c r="N10" i="276"/>
  <c r="N10" i="289"/>
  <c r="N10" i="281"/>
  <c r="N10" i="279"/>
  <c r="P1" i="1"/>
  <c r="Q2" i="1"/>
  <c r="N10" i="338"/>
  <c r="N10" i="341"/>
  <c r="Q23" i="386" l="1"/>
  <c r="P22" i="386"/>
  <c r="O10" i="384"/>
  <c r="O10" i="386"/>
  <c r="P23" i="374"/>
  <c r="O22" i="374"/>
  <c r="P23" i="378"/>
  <c r="O22" i="378"/>
  <c r="P23" i="382"/>
  <c r="O22" i="382"/>
  <c r="P23" i="381"/>
  <c r="O22" i="381"/>
  <c r="P23" i="384"/>
  <c r="O22" i="384"/>
  <c r="P23" i="379"/>
  <c r="O22" i="379"/>
  <c r="Q23" i="375"/>
  <c r="P22" i="375"/>
  <c r="P23" i="377"/>
  <c r="O22" i="377"/>
  <c r="O10" i="382"/>
  <c r="O10" i="379"/>
  <c r="O10" i="381"/>
  <c r="O10" i="378"/>
  <c r="O10" i="375"/>
  <c r="O10" i="377"/>
  <c r="O10" i="374"/>
  <c r="P23" i="370"/>
  <c r="O22" i="370"/>
  <c r="Q23" i="371"/>
  <c r="P22" i="371"/>
  <c r="O10" i="369"/>
  <c r="O10" i="370"/>
  <c r="O10" i="371"/>
  <c r="P23" i="356"/>
  <c r="O22" i="356"/>
  <c r="P23" i="367"/>
  <c r="O22" i="367"/>
  <c r="P22" i="351"/>
  <c r="Q23" i="351"/>
  <c r="P23" i="362"/>
  <c r="O22" i="362"/>
  <c r="P23" i="364"/>
  <c r="O22" i="364"/>
  <c r="P23" i="361"/>
  <c r="O22" i="361"/>
  <c r="P23" i="360"/>
  <c r="O22" i="360"/>
  <c r="P23" i="359"/>
  <c r="O22" i="359"/>
  <c r="P23" i="363"/>
  <c r="O22" i="363"/>
  <c r="P22" i="369"/>
  <c r="Q23" i="369"/>
  <c r="P23" i="368"/>
  <c r="O22" i="368"/>
  <c r="O10" i="367"/>
  <c r="O10" i="368"/>
  <c r="O10" i="363"/>
  <c r="O10" i="360"/>
  <c r="O10" i="362"/>
  <c r="O10" i="359"/>
  <c r="O10" i="364"/>
  <c r="O10" i="356"/>
  <c r="O10" i="361"/>
  <c r="O10" i="351"/>
  <c r="O10" i="338"/>
  <c r="O10" i="337"/>
  <c r="O10" i="336"/>
  <c r="O10" i="335"/>
  <c r="O10" i="334"/>
  <c r="AW1" i="1"/>
  <c r="AX2" i="1"/>
  <c r="P22" i="347"/>
  <c r="Q23" i="347"/>
  <c r="O10" i="347"/>
  <c r="O22" i="342"/>
  <c r="P23" i="342"/>
  <c r="P23" i="280"/>
  <c r="O22" i="280"/>
  <c r="P22" i="345"/>
  <c r="Q23" i="345"/>
  <c r="O10" i="341"/>
  <c r="O10" i="345"/>
  <c r="O10" i="342"/>
  <c r="P22" i="330"/>
  <c r="Q23" i="330"/>
  <c r="P22" i="292"/>
  <c r="Q23" i="292"/>
  <c r="P22" i="324"/>
  <c r="Q23" i="324"/>
  <c r="Q23" i="319"/>
  <c r="P22" i="319"/>
  <c r="P22" i="281"/>
  <c r="Q23" i="281"/>
  <c r="Q23" i="279"/>
  <c r="P22" i="279"/>
  <c r="P22" i="276"/>
  <c r="Q23" i="276"/>
  <c r="Q23" i="336"/>
  <c r="P22" i="336"/>
  <c r="P22" i="334"/>
  <c r="Q23" i="334"/>
  <c r="Q23" i="341"/>
  <c r="P22" i="341"/>
  <c r="P22" i="337"/>
  <c r="Q23" i="337"/>
  <c r="Q23" i="335"/>
  <c r="P22" i="335"/>
  <c r="P22" i="294"/>
  <c r="Q23" i="294"/>
  <c r="Q23" i="323"/>
  <c r="P22" i="323"/>
  <c r="P22" i="322"/>
  <c r="Q23" i="322"/>
  <c r="P22" i="309"/>
  <c r="Q23" i="309"/>
  <c r="P22" i="307"/>
  <c r="Q23" i="307"/>
  <c r="P22" i="306"/>
  <c r="Q23" i="306"/>
  <c r="P22" i="303"/>
  <c r="Q23" i="303"/>
  <c r="Q23" i="298"/>
  <c r="P22" i="298"/>
  <c r="P22" i="289"/>
  <c r="Q23" i="289"/>
  <c r="P22" i="282"/>
  <c r="Q23" i="282"/>
  <c r="Q23" i="316"/>
  <c r="P22" i="316"/>
  <c r="P22" i="338"/>
  <c r="Q23" i="338"/>
  <c r="Q23" i="305"/>
  <c r="P22" i="305"/>
  <c r="Q23" i="329"/>
  <c r="P22" i="329"/>
  <c r="O10" i="324"/>
  <c r="O10" i="323"/>
  <c r="O10" i="322"/>
  <c r="O10" i="316"/>
  <c r="O10" i="309"/>
  <c r="O10" i="307"/>
  <c r="O10" i="306"/>
  <c r="O10" i="305"/>
  <c r="O10" i="303"/>
  <c r="O10" i="329"/>
  <c r="O10" i="298"/>
  <c r="O10" i="294"/>
  <c r="O10" i="292"/>
  <c r="O10" i="282"/>
  <c r="O10" i="276"/>
  <c r="O10" i="330"/>
  <c r="O10" i="319"/>
  <c r="O10" i="289"/>
  <c r="O10" i="281"/>
  <c r="O10" i="280"/>
  <c r="O10" i="279"/>
  <c r="Q1" i="1"/>
  <c r="R2" i="1"/>
  <c r="R23" i="386" l="1"/>
  <c r="Q22" i="386"/>
  <c r="P10" i="384"/>
  <c r="P10" i="386"/>
  <c r="Q23" i="377"/>
  <c r="P22" i="377"/>
  <c r="P22" i="381"/>
  <c r="Q23" i="381"/>
  <c r="R23" i="375"/>
  <c r="Q22" i="375"/>
  <c r="Q23" i="382"/>
  <c r="P22" i="382"/>
  <c r="P22" i="379"/>
  <c r="Q23" i="379"/>
  <c r="Q23" i="378"/>
  <c r="P22" i="378"/>
  <c r="Q23" i="384"/>
  <c r="P22" i="384"/>
  <c r="Q23" i="374"/>
  <c r="P22" i="374"/>
  <c r="P10" i="382"/>
  <c r="P10" i="378"/>
  <c r="P10" i="379"/>
  <c r="P10" i="381"/>
  <c r="P10" i="375"/>
  <c r="P10" i="377"/>
  <c r="P10" i="374"/>
  <c r="R23" i="371"/>
  <c r="Q22" i="371"/>
  <c r="P22" i="370"/>
  <c r="Q23" i="370"/>
  <c r="P10" i="369"/>
  <c r="P10" i="370"/>
  <c r="P10" i="371"/>
  <c r="R23" i="351"/>
  <c r="Q22" i="351"/>
  <c r="P22" i="368"/>
  <c r="Q23" i="368"/>
  <c r="P22" i="360"/>
  <c r="Q23" i="360"/>
  <c r="Q22" i="369"/>
  <c r="R23" i="369"/>
  <c r="Q23" i="361"/>
  <c r="P22" i="361"/>
  <c r="Q23" i="363"/>
  <c r="P22" i="363"/>
  <c r="Q23" i="364"/>
  <c r="P22" i="364"/>
  <c r="Q23" i="367"/>
  <c r="P22" i="367"/>
  <c r="Q23" i="356"/>
  <c r="P22" i="356"/>
  <c r="P22" i="359"/>
  <c r="Q23" i="359"/>
  <c r="Q23" i="362"/>
  <c r="P22" i="362"/>
  <c r="P10" i="367"/>
  <c r="P10" i="368"/>
  <c r="P10" i="360"/>
  <c r="P10" i="362"/>
  <c r="P10" i="359"/>
  <c r="P10" i="364"/>
  <c r="P10" i="361"/>
  <c r="P10" i="356"/>
  <c r="P10" i="363"/>
  <c r="P10" i="351"/>
  <c r="AY2" i="1"/>
  <c r="AZ2" i="1" s="1"/>
  <c r="AZ1" i="1" s="1"/>
  <c r="AX1" i="1"/>
  <c r="Q22" i="347"/>
  <c r="R23" i="347"/>
  <c r="P10" i="347"/>
  <c r="P22" i="342"/>
  <c r="Q23" i="342"/>
  <c r="Q23" i="280"/>
  <c r="P22" i="280"/>
  <c r="Q22" i="345"/>
  <c r="R23" i="345"/>
  <c r="P10" i="345"/>
  <c r="P10" i="342"/>
  <c r="P10" i="337"/>
  <c r="P10" i="338"/>
  <c r="P10" i="341"/>
  <c r="R23" i="330"/>
  <c r="Q22" i="330"/>
  <c r="Q22" i="292"/>
  <c r="R23" i="292"/>
  <c r="R23" i="324"/>
  <c r="Q22" i="324"/>
  <c r="R23" i="319"/>
  <c r="Q22" i="319"/>
  <c r="Q22" i="281"/>
  <c r="R23" i="281"/>
  <c r="Q22" i="279"/>
  <c r="R23" i="279"/>
  <c r="R23" i="276"/>
  <c r="Q22" i="276"/>
  <c r="Q22" i="336"/>
  <c r="R23" i="336"/>
  <c r="R23" i="334"/>
  <c r="Q22" i="334"/>
  <c r="Q22" i="341"/>
  <c r="R23" i="341"/>
  <c r="Q22" i="337"/>
  <c r="R23" i="337"/>
  <c r="R23" i="335"/>
  <c r="Q22" i="335"/>
  <c r="Q22" i="294"/>
  <c r="R23" i="294"/>
  <c r="Q22" i="323"/>
  <c r="R23" i="323"/>
  <c r="Q22" i="322"/>
  <c r="R23" i="322"/>
  <c r="Q22" i="309"/>
  <c r="R23" i="309"/>
  <c r="R23" i="307"/>
  <c r="Q22" i="307"/>
  <c r="R23" i="306"/>
  <c r="Q22" i="306"/>
  <c r="Q22" i="303"/>
  <c r="R23" i="303"/>
  <c r="R23" i="298"/>
  <c r="Q22" i="298"/>
  <c r="Q22" i="289"/>
  <c r="R23" i="289"/>
  <c r="Q22" i="282"/>
  <c r="R23" i="282"/>
  <c r="R23" i="316"/>
  <c r="Q22" i="316"/>
  <c r="Q22" i="338"/>
  <c r="R23" i="338"/>
  <c r="Q22" i="305"/>
  <c r="R23" i="305"/>
  <c r="R23" i="329"/>
  <c r="Q22" i="329"/>
  <c r="P10" i="336"/>
  <c r="P10" i="335"/>
  <c r="P10" i="334"/>
  <c r="P10" i="324"/>
  <c r="P10" i="323"/>
  <c r="P10" i="322"/>
  <c r="P10" i="316"/>
  <c r="P10" i="309"/>
  <c r="P10" i="307"/>
  <c r="P10" i="306"/>
  <c r="P10" i="305"/>
  <c r="P10" i="303"/>
  <c r="P10" i="330"/>
  <c r="P10" i="329"/>
  <c r="P10" i="319"/>
  <c r="P10" i="298"/>
  <c r="P10" i="294"/>
  <c r="P10" i="292"/>
  <c r="P10" i="282"/>
  <c r="P10" i="280"/>
  <c r="P10" i="276"/>
  <c r="P10" i="289"/>
  <c r="P10" i="281"/>
  <c r="P10" i="279"/>
  <c r="R1" i="1"/>
  <c r="S2" i="1"/>
  <c r="S23" i="386" l="1"/>
  <c r="R22" i="386"/>
  <c r="Q10" i="384"/>
  <c r="Q10" i="386"/>
  <c r="R23" i="374"/>
  <c r="Q22" i="374"/>
  <c r="R23" i="382"/>
  <c r="Q22" i="382"/>
  <c r="R23" i="384"/>
  <c r="Q22" i="384"/>
  <c r="S23" i="375"/>
  <c r="R22" i="375"/>
  <c r="R23" i="381"/>
  <c r="Q22" i="381"/>
  <c r="R23" i="378"/>
  <c r="Q22" i="378"/>
  <c r="R23" i="379"/>
  <c r="Q22" i="379"/>
  <c r="R23" i="377"/>
  <c r="Q22" i="377"/>
  <c r="Q10" i="381"/>
  <c r="Q10" i="378"/>
  <c r="Q10" i="379"/>
  <c r="Q10" i="382"/>
  <c r="Q10" i="377"/>
  <c r="Q10" i="374"/>
  <c r="Q10" i="375"/>
  <c r="R23" i="370"/>
  <c r="Q22" i="370"/>
  <c r="S23" i="371"/>
  <c r="R22" i="371"/>
  <c r="Q10" i="369"/>
  <c r="Q10" i="370"/>
  <c r="Q10" i="371"/>
  <c r="R23" i="356"/>
  <c r="Q22" i="356"/>
  <c r="R23" i="360"/>
  <c r="Q22" i="360"/>
  <c r="Q22" i="362"/>
  <c r="R23" i="362"/>
  <c r="R23" i="367"/>
  <c r="Q22" i="367"/>
  <c r="Q22" i="359"/>
  <c r="R23" i="359"/>
  <c r="Q22" i="368"/>
  <c r="R23" i="368"/>
  <c r="R23" i="364"/>
  <c r="Q22" i="364"/>
  <c r="R23" i="361"/>
  <c r="Q22" i="361"/>
  <c r="R22" i="369"/>
  <c r="S23" i="369"/>
  <c r="R23" i="363"/>
  <c r="Q22" i="363"/>
  <c r="S23" i="351"/>
  <c r="R22" i="351"/>
  <c r="Q10" i="367"/>
  <c r="Q10" i="368"/>
  <c r="Q10" i="360"/>
  <c r="Q10" i="362"/>
  <c r="Q10" i="359"/>
  <c r="Q10" i="364"/>
  <c r="Q10" i="361"/>
  <c r="Q10" i="356"/>
  <c r="Q10" i="363"/>
  <c r="Q10" i="351"/>
  <c r="AY1" i="1"/>
  <c r="R22" i="347"/>
  <c r="S23" i="347"/>
  <c r="Q10" i="347"/>
  <c r="Q22" i="342"/>
  <c r="R23" i="342"/>
  <c r="Q22" i="280"/>
  <c r="R23" i="280"/>
  <c r="R22" i="345"/>
  <c r="S23" i="345"/>
  <c r="Q10" i="345"/>
  <c r="Q10" i="342"/>
  <c r="Q10" i="341"/>
  <c r="S23" i="330"/>
  <c r="R22" i="330"/>
  <c r="S23" i="292"/>
  <c r="R22" i="292"/>
  <c r="R22" i="324"/>
  <c r="S23" i="324"/>
  <c r="R22" i="319"/>
  <c r="S23" i="319"/>
  <c r="S23" i="281"/>
  <c r="R22" i="281"/>
  <c r="R22" i="279"/>
  <c r="S23" i="279"/>
  <c r="R22" i="276"/>
  <c r="S23" i="276"/>
  <c r="S23" i="336"/>
  <c r="R22" i="336"/>
  <c r="R22" i="334"/>
  <c r="S23" i="334"/>
  <c r="S23" i="341"/>
  <c r="R22" i="341"/>
  <c r="R22" i="337"/>
  <c r="S23" i="337"/>
  <c r="S23" i="335"/>
  <c r="R22" i="335"/>
  <c r="R22" i="294"/>
  <c r="S23" i="294"/>
  <c r="S23" i="323"/>
  <c r="R22" i="323"/>
  <c r="R22" i="322"/>
  <c r="S23" i="322"/>
  <c r="S23" i="309"/>
  <c r="R22" i="309"/>
  <c r="R22" i="307"/>
  <c r="S23" i="307"/>
  <c r="S23" i="306"/>
  <c r="R22" i="306"/>
  <c r="R22" i="303"/>
  <c r="S23" i="303"/>
  <c r="R22" i="298"/>
  <c r="S23" i="298"/>
  <c r="R22" i="289"/>
  <c r="S23" i="289"/>
  <c r="S23" i="282"/>
  <c r="R22" i="282"/>
  <c r="R22" i="316"/>
  <c r="S23" i="316"/>
  <c r="R22" i="338"/>
  <c r="S23" i="338"/>
  <c r="R22" i="305"/>
  <c r="S23" i="305"/>
  <c r="R22" i="329"/>
  <c r="S23" i="329"/>
  <c r="Q10" i="338"/>
  <c r="Q10" i="337"/>
  <c r="Q10" i="336"/>
  <c r="Q10" i="335"/>
  <c r="Q10" i="334"/>
  <c r="Q10" i="324"/>
  <c r="Q10" i="323"/>
  <c r="Q10" i="322"/>
  <c r="Q10" i="309"/>
  <c r="Q10" i="307"/>
  <c r="Q10" i="306"/>
  <c r="Q10" i="305"/>
  <c r="Q10" i="303"/>
  <c r="Q10" i="329"/>
  <c r="Q10" i="281"/>
  <c r="Q10" i="279"/>
  <c r="Q10" i="316"/>
  <c r="Q10" i="298"/>
  <c r="Q10" i="294"/>
  <c r="Q10" i="292"/>
  <c r="Q10" i="282"/>
  <c r="Q10" i="276"/>
  <c r="Q10" i="330"/>
  <c r="Q10" i="319"/>
  <c r="Q10" i="289"/>
  <c r="Q10" i="280"/>
  <c r="S1" i="1"/>
  <c r="T2" i="1"/>
  <c r="T23" i="386" l="1"/>
  <c r="S22" i="386"/>
  <c r="R10" i="384"/>
  <c r="R10" i="386"/>
  <c r="S23" i="377"/>
  <c r="R22" i="377"/>
  <c r="T23" i="375"/>
  <c r="S22" i="375"/>
  <c r="S23" i="379"/>
  <c r="R22" i="379"/>
  <c r="S23" i="384"/>
  <c r="R22" i="384"/>
  <c r="S23" i="378"/>
  <c r="R22" i="378"/>
  <c r="S23" i="382"/>
  <c r="R22" i="382"/>
  <c r="S23" i="381"/>
  <c r="R22" i="381"/>
  <c r="S23" i="374"/>
  <c r="R22" i="374"/>
  <c r="R10" i="382"/>
  <c r="R10" i="378"/>
  <c r="R10" i="379"/>
  <c r="R10" i="381"/>
  <c r="R10" i="377"/>
  <c r="R10" i="374"/>
  <c r="R10" i="375"/>
  <c r="T23" i="371"/>
  <c r="S22" i="371"/>
  <c r="S23" i="370"/>
  <c r="R22" i="370"/>
  <c r="R10" i="369"/>
  <c r="R10" i="371"/>
  <c r="R10" i="370"/>
  <c r="T23" i="351"/>
  <c r="S22" i="351"/>
  <c r="S23" i="361"/>
  <c r="R22" i="361"/>
  <c r="S23" i="363"/>
  <c r="R22" i="363"/>
  <c r="S23" i="364"/>
  <c r="R22" i="364"/>
  <c r="S23" i="367"/>
  <c r="R22" i="367"/>
  <c r="S23" i="368"/>
  <c r="R22" i="368"/>
  <c r="S23" i="362"/>
  <c r="R22" i="362"/>
  <c r="S23" i="356"/>
  <c r="R22" i="356"/>
  <c r="T23" i="369"/>
  <c r="S22" i="369"/>
  <c r="S23" i="359"/>
  <c r="R22" i="359"/>
  <c r="S23" i="360"/>
  <c r="R22" i="360"/>
  <c r="R10" i="367"/>
  <c r="R10" i="368"/>
  <c r="R10" i="359"/>
  <c r="R10" i="362"/>
  <c r="R10" i="364"/>
  <c r="R10" i="361"/>
  <c r="R10" i="356"/>
  <c r="R10" i="363"/>
  <c r="R10" i="360"/>
  <c r="R10" i="351"/>
  <c r="BA2" i="1"/>
  <c r="S22" i="347"/>
  <c r="T23" i="347"/>
  <c r="R10" i="347"/>
  <c r="R22" i="342"/>
  <c r="S23" i="342"/>
  <c r="S23" i="280"/>
  <c r="R22" i="280"/>
  <c r="S22" i="345"/>
  <c r="T23" i="345"/>
  <c r="R10" i="341"/>
  <c r="R10" i="345"/>
  <c r="R10" i="342"/>
  <c r="S22" i="330"/>
  <c r="T23" i="330"/>
  <c r="T23" i="292"/>
  <c r="S22" i="292"/>
  <c r="T23" i="324"/>
  <c r="S22" i="324"/>
  <c r="S22" i="319"/>
  <c r="T23" i="319"/>
  <c r="T23" i="281"/>
  <c r="S22" i="281"/>
  <c r="S22" i="279"/>
  <c r="T23" i="279"/>
  <c r="S22" i="276"/>
  <c r="T23" i="276"/>
  <c r="S22" i="336"/>
  <c r="T23" i="336"/>
  <c r="T23" i="334"/>
  <c r="S22" i="334"/>
  <c r="T23" i="341"/>
  <c r="S22" i="341"/>
  <c r="T23" i="337"/>
  <c r="S22" i="337"/>
  <c r="S22" i="335"/>
  <c r="T23" i="335"/>
  <c r="S22" i="294"/>
  <c r="T23" i="294"/>
  <c r="S22" i="323"/>
  <c r="T23" i="323"/>
  <c r="S22" i="322"/>
  <c r="T23" i="322"/>
  <c r="S22" i="309"/>
  <c r="T23" i="309"/>
  <c r="S22" i="307"/>
  <c r="T23" i="307"/>
  <c r="S22" i="306"/>
  <c r="T23" i="306"/>
  <c r="S22" i="303"/>
  <c r="T23" i="303"/>
  <c r="S22" i="298"/>
  <c r="T23" i="298"/>
  <c r="S22" i="289"/>
  <c r="T23" i="289"/>
  <c r="S22" i="282"/>
  <c r="T23" i="282"/>
  <c r="T23" i="316"/>
  <c r="S22" i="316"/>
  <c r="T23" i="338"/>
  <c r="S22" i="338"/>
  <c r="S22" i="305"/>
  <c r="T23" i="305"/>
  <c r="T23" i="329"/>
  <c r="S22" i="329"/>
  <c r="R10" i="338"/>
  <c r="R10" i="337"/>
  <c r="R10" i="336"/>
  <c r="R10" i="335"/>
  <c r="R10" i="334"/>
  <c r="R10" i="324"/>
  <c r="R10" i="323"/>
  <c r="R10" i="322"/>
  <c r="R10" i="309"/>
  <c r="R10" i="307"/>
  <c r="R10" i="306"/>
  <c r="R10" i="305"/>
  <c r="R10" i="303"/>
  <c r="R10" i="330"/>
  <c r="R10" i="329"/>
  <c r="R10" i="319"/>
  <c r="R10" i="316"/>
  <c r="R10" i="298"/>
  <c r="R10" i="294"/>
  <c r="R10" i="292"/>
  <c r="R10" i="282"/>
  <c r="R10" i="280"/>
  <c r="R10" i="276"/>
  <c r="R10" i="289"/>
  <c r="R10" i="281"/>
  <c r="R10" i="279"/>
  <c r="U2" i="1"/>
  <c r="T1" i="1"/>
  <c r="U23" i="386" l="1"/>
  <c r="T22" i="386"/>
  <c r="S10" i="384"/>
  <c r="S10" i="386"/>
  <c r="T23" i="374"/>
  <c r="S22" i="374"/>
  <c r="T23" i="384"/>
  <c r="S22" i="384"/>
  <c r="T23" i="381"/>
  <c r="S22" i="381"/>
  <c r="T23" i="379"/>
  <c r="S22" i="379"/>
  <c r="T23" i="382"/>
  <c r="S22" i="382"/>
  <c r="U23" i="375"/>
  <c r="T22" i="375"/>
  <c r="T23" i="378"/>
  <c r="S22" i="378"/>
  <c r="T23" i="377"/>
  <c r="S22" i="377"/>
  <c r="S10" i="378"/>
  <c r="S10" i="381"/>
  <c r="S10" i="379"/>
  <c r="S10" i="382"/>
  <c r="S10" i="374"/>
  <c r="S10" i="375"/>
  <c r="S10" i="377"/>
  <c r="T23" i="370"/>
  <c r="S22" i="370"/>
  <c r="U23" i="371"/>
  <c r="T22" i="371"/>
  <c r="S10" i="369"/>
  <c r="S10" i="370"/>
  <c r="S10" i="371"/>
  <c r="T23" i="356"/>
  <c r="S22" i="356"/>
  <c r="T23" i="360"/>
  <c r="S22" i="360"/>
  <c r="T23" i="367"/>
  <c r="S22" i="367"/>
  <c r="T23" i="359"/>
  <c r="S22" i="359"/>
  <c r="T23" i="362"/>
  <c r="S22" i="362"/>
  <c r="T23" i="364"/>
  <c r="S22" i="364"/>
  <c r="T23" i="361"/>
  <c r="S22" i="361"/>
  <c r="U23" i="369"/>
  <c r="T22" i="369"/>
  <c r="S22" i="368"/>
  <c r="T23" i="368"/>
  <c r="T23" i="363"/>
  <c r="S22" i="363"/>
  <c r="U23" i="351"/>
  <c r="T22" i="351"/>
  <c r="S10" i="367"/>
  <c r="S10" i="368"/>
  <c r="S10" i="362"/>
  <c r="S10" i="359"/>
  <c r="S10" i="364"/>
  <c r="S10" i="361"/>
  <c r="S10" i="356"/>
  <c r="S10" i="363"/>
  <c r="S10" i="360"/>
  <c r="S10" i="351"/>
  <c r="BA1" i="1"/>
  <c r="BB2" i="1"/>
  <c r="T22" i="347"/>
  <c r="U23" i="347"/>
  <c r="S10" i="347"/>
  <c r="S22" i="342"/>
  <c r="T23" i="342"/>
  <c r="S22" i="280"/>
  <c r="T23" i="280"/>
  <c r="T22" i="345"/>
  <c r="U23" i="345"/>
  <c r="S10" i="345"/>
  <c r="S10" i="342"/>
  <c r="U23" i="330"/>
  <c r="T22" i="330"/>
  <c r="U23" i="292"/>
  <c r="T22" i="292"/>
  <c r="T22" i="324"/>
  <c r="U23" i="324"/>
  <c r="T22" i="319"/>
  <c r="U23" i="319"/>
  <c r="U23" i="281"/>
  <c r="T22" i="281"/>
  <c r="U23" i="279"/>
  <c r="T22" i="279"/>
  <c r="T22" i="276"/>
  <c r="U23" i="276"/>
  <c r="T22" i="336"/>
  <c r="U23" i="336"/>
  <c r="T22" i="334"/>
  <c r="U23" i="334"/>
  <c r="T22" i="341"/>
  <c r="U23" i="341"/>
  <c r="U23" i="337"/>
  <c r="T22" i="337"/>
  <c r="T22" i="335"/>
  <c r="U23" i="335"/>
  <c r="U23" i="294"/>
  <c r="T22" i="294"/>
  <c r="U23" i="323"/>
  <c r="T22" i="323"/>
  <c r="T22" i="322"/>
  <c r="U23" i="322"/>
  <c r="T22" i="309"/>
  <c r="U23" i="309"/>
  <c r="U23" i="307"/>
  <c r="T22" i="307"/>
  <c r="U23" i="306"/>
  <c r="T22" i="306"/>
  <c r="T22" i="303"/>
  <c r="U23" i="303"/>
  <c r="T22" i="298"/>
  <c r="U23" i="298"/>
  <c r="T22" i="289"/>
  <c r="U23" i="289"/>
  <c r="T22" i="282"/>
  <c r="U23" i="282"/>
  <c r="U23" i="316"/>
  <c r="T22" i="316"/>
  <c r="U23" i="338"/>
  <c r="T22" i="338"/>
  <c r="T22" i="305"/>
  <c r="U23" i="305"/>
  <c r="T22" i="329"/>
  <c r="U23" i="329"/>
  <c r="S10" i="341"/>
  <c r="S10" i="338"/>
  <c r="S10" i="337"/>
  <c r="S10" i="336"/>
  <c r="S10" i="335"/>
  <c r="S10" i="334"/>
  <c r="S10" i="324"/>
  <c r="S10" i="323"/>
  <c r="S10" i="322"/>
  <c r="S10" i="309"/>
  <c r="S10" i="307"/>
  <c r="S10" i="306"/>
  <c r="S10" i="305"/>
  <c r="S10" i="303"/>
  <c r="S10" i="329"/>
  <c r="S10" i="316"/>
  <c r="S10" i="298"/>
  <c r="S10" i="294"/>
  <c r="S10" i="292"/>
  <c r="S10" i="282"/>
  <c r="S10" i="280"/>
  <c r="S10" i="276"/>
  <c r="S10" i="330"/>
  <c r="S10" i="319"/>
  <c r="S10" i="289"/>
  <c r="S10" i="281"/>
  <c r="S10" i="279"/>
  <c r="U1" i="1"/>
  <c r="V2" i="1"/>
  <c r="V23" i="386" l="1"/>
  <c r="U22" i="386"/>
  <c r="T10" i="384"/>
  <c r="T10" i="386"/>
  <c r="U23" i="377"/>
  <c r="T22" i="377"/>
  <c r="U23" i="379"/>
  <c r="T22" i="379"/>
  <c r="U23" i="378"/>
  <c r="T22" i="378"/>
  <c r="U23" i="381"/>
  <c r="T22" i="381"/>
  <c r="V23" i="375"/>
  <c r="U22" i="375"/>
  <c r="U23" i="384"/>
  <c r="T22" i="384"/>
  <c r="U23" i="382"/>
  <c r="T22" i="382"/>
  <c r="U23" i="374"/>
  <c r="T22" i="374"/>
  <c r="T10" i="378"/>
  <c r="T10" i="379"/>
  <c r="T10" i="381"/>
  <c r="T10" i="382"/>
  <c r="T10" i="375"/>
  <c r="T10" i="377"/>
  <c r="T10" i="374"/>
  <c r="V23" i="371"/>
  <c r="U22" i="371"/>
  <c r="U23" i="370"/>
  <c r="T22" i="370"/>
  <c r="T10" i="369"/>
  <c r="T10" i="370"/>
  <c r="T10" i="371"/>
  <c r="V23" i="351"/>
  <c r="U22" i="351"/>
  <c r="U23" i="361"/>
  <c r="T22" i="361"/>
  <c r="U23" i="363"/>
  <c r="T22" i="363"/>
  <c r="U23" i="364"/>
  <c r="T22" i="364"/>
  <c r="U23" i="367"/>
  <c r="T22" i="367"/>
  <c r="U23" i="356"/>
  <c r="T22" i="356"/>
  <c r="U23" i="368"/>
  <c r="T22" i="368"/>
  <c r="U23" i="362"/>
  <c r="T22" i="362"/>
  <c r="U22" i="369"/>
  <c r="V23" i="369"/>
  <c r="U23" i="359"/>
  <c r="T22" i="359"/>
  <c r="U23" i="360"/>
  <c r="T22" i="360"/>
  <c r="T10" i="367"/>
  <c r="T10" i="368"/>
  <c r="T10" i="364"/>
  <c r="T10" i="361"/>
  <c r="T10" i="356"/>
  <c r="T10" i="363"/>
  <c r="T10" i="360"/>
  <c r="T10" i="359"/>
  <c r="T10" i="362"/>
  <c r="T10" i="351"/>
  <c r="BC2" i="1"/>
  <c r="BB1" i="1"/>
  <c r="U22" i="347"/>
  <c r="V23" i="347"/>
  <c r="T10" i="347"/>
  <c r="T22" i="342"/>
  <c r="U23" i="342"/>
  <c r="T22" i="280"/>
  <c r="U23" i="280"/>
  <c r="U22" i="345"/>
  <c r="V23" i="345"/>
  <c r="T10" i="345"/>
  <c r="T10" i="342"/>
  <c r="V23" i="330"/>
  <c r="U22" i="330"/>
  <c r="V23" i="292"/>
  <c r="U22" i="292"/>
  <c r="V23" i="324"/>
  <c r="U22" i="324"/>
  <c r="V23" i="319"/>
  <c r="U22" i="319"/>
  <c r="U22" i="281"/>
  <c r="V23" i="281"/>
  <c r="U22" i="279"/>
  <c r="V23" i="279"/>
  <c r="U22" i="276"/>
  <c r="V23" i="276"/>
  <c r="U22" i="336"/>
  <c r="V23" i="336"/>
  <c r="U22" i="334"/>
  <c r="V23" i="334"/>
  <c r="U22" i="341"/>
  <c r="V23" i="341"/>
  <c r="U22" i="337"/>
  <c r="V23" i="337"/>
  <c r="V23" i="335"/>
  <c r="U22" i="335"/>
  <c r="U22" i="294"/>
  <c r="V23" i="294"/>
  <c r="U22" i="323"/>
  <c r="V23" i="323"/>
  <c r="V23" i="322"/>
  <c r="U22" i="322"/>
  <c r="U22" i="309"/>
  <c r="V23" i="309"/>
  <c r="U22" i="307"/>
  <c r="V23" i="307"/>
  <c r="V23" i="306"/>
  <c r="U22" i="306"/>
  <c r="V23" i="303"/>
  <c r="U22" i="303"/>
  <c r="U22" i="298"/>
  <c r="V23" i="298"/>
  <c r="V23" i="289"/>
  <c r="U22" i="289"/>
  <c r="U22" i="282"/>
  <c r="V23" i="282"/>
  <c r="U22" i="316"/>
  <c r="V23" i="316"/>
  <c r="V23" i="338"/>
  <c r="U22" i="338"/>
  <c r="U22" i="305"/>
  <c r="V23" i="305"/>
  <c r="V23" i="329"/>
  <c r="U22" i="329"/>
  <c r="T10" i="341"/>
  <c r="T10" i="338"/>
  <c r="T10" i="337"/>
  <c r="T10" i="336"/>
  <c r="T10" i="335"/>
  <c r="T10" i="334"/>
  <c r="T10" i="324"/>
  <c r="T10" i="323"/>
  <c r="T10" i="322"/>
  <c r="T10" i="309"/>
  <c r="T10" i="307"/>
  <c r="T10" i="306"/>
  <c r="T10" i="305"/>
  <c r="T10" i="303"/>
  <c r="T10" i="330"/>
  <c r="T10" i="329"/>
  <c r="T10" i="319"/>
  <c r="T10" i="316"/>
  <c r="T10" i="298"/>
  <c r="T10" i="294"/>
  <c r="T10" i="292"/>
  <c r="T10" i="282"/>
  <c r="T10" i="276"/>
  <c r="T10" i="289"/>
  <c r="T10" i="281"/>
  <c r="T10" i="280"/>
  <c r="T10" i="279"/>
  <c r="W2" i="1"/>
  <c r="V1" i="1"/>
  <c r="W23" i="386" l="1"/>
  <c r="V22" i="386"/>
  <c r="U10" i="384"/>
  <c r="U10" i="386"/>
  <c r="V23" i="374"/>
  <c r="U22" i="374"/>
  <c r="V23" i="381"/>
  <c r="U22" i="381"/>
  <c r="V23" i="382"/>
  <c r="U22" i="382"/>
  <c r="V23" i="378"/>
  <c r="U22" i="378"/>
  <c r="V23" i="384"/>
  <c r="U22" i="384"/>
  <c r="V23" i="379"/>
  <c r="U22" i="379"/>
  <c r="W23" i="375"/>
  <c r="V22" i="375"/>
  <c r="V23" i="377"/>
  <c r="U22" i="377"/>
  <c r="U10" i="379"/>
  <c r="U10" i="382"/>
  <c r="U10" i="381"/>
  <c r="U10" i="378"/>
  <c r="U10" i="375"/>
  <c r="U10" i="377"/>
  <c r="U10" i="374"/>
  <c r="V23" i="370"/>
  <c r="U22" i="370"/>
  <c r="W23" i="371"/>
  <c r="V22" i="371"/>
  <c r="U10" i="369"/>
  <c r="U10" i="371"/>
  <c r="U10" i="370"/>
  <c r="V23" i="356"/>
  <c r="U22" i="356"/>
  <c r="V23" i="360"/>
  <c r="U22" i="360"/>
  <c r="V23" i="367"/>
  <c r="U22" i="367"/>
  <c r="V23" i="359"/>
  <c r="U22" i="359"/>
  <c r="V23" i="362"/>
  <c r="U22" i="362"/>
  <c r="V23" i="364"/>
  <c r="U22" i="364"/>
  <c r="V23" i="361"/>
  <c r="U22" i="361"/>
  <c r="V22" i="369"/>
  <c r="W23" i="369"/>
  <c r="V23" i="368"/>
  <c r="U22" i="368"/>
  <c r="V23" i="363"/>
  <c r="U22" i="363"/>
  <c r="W23" i="351"/>
  <c r="V22" i="351"/>
  <c r="U10" i="367"/>
  <c r="U10" i="368"/>
  <c r="U10" i="361"/>
  <c r="U10" i="363"/>
  <c r="U10" i="356"/>
  <c r="U10" i="360"/>
  <c r="U10" i="362"/>
  <c r="U10" i="359"/>
  <c r="U10" i="364"/>
  <c r="U10" i="351"/>
  <c r="BC1" i="1"/>
  <c r="BD2" i="1"/>
  <c r="V22" i="347"/>
  <c r="W23" i="347"/>
  <c r="U10" i="347"/>
  <c r="U22" i="342"/>
  <c r="V23" i="342"/>
  <c r="U22" i="280"/>
  <c r="V23" i="280"/>
  <c r="V22" i="345"/>
  <c r="W23" i="345"/>
  <c r="U10" i="345"/>
  <c r="U10" i="342"/>
  <c r="V22" i="330"/>
  <c r="W23" i="330"/>
  <c r="V22" i="292"/>
  <c r="W23" i="292"/>
  <c r="W23" i="324"/>
  <c r="V22" i="324"/>
  <c r="W23" i="319"/>
  <c r="V22" i="319"/>
  <c r="V22" i="281"/>
  <c r="W23" i="281"/>
  <c r="V22" i="279"/>
  <c r="W23" i="279"/>
  <c r="V22" i="276"/>
  <c r="W23" i="276"/>
  <c r="V22" i="336"/>
  <c r="W23" i="336"/>
  <c r="V22" i="334"/>
  <c r="W23" i="334"/>
  <c r="V22" i="341"/>
  <c r="W23" i="341"/>
  <c r="V22" i="337"/>
  <c r="W23" i="337"/>
  <c r="V22" i="335"/>
  <c r="W23" i="335"/>
  <c r="W23" i="294"/>
  <c r="V22" i="294"/>
  <c r="V22" i="323"/>
  <c r="W23" i="323"/>
  <c r="V22" i="322"/>
  <c r="W23" i="322"/>
  <c r="V22" i="309"/>
  <c r="W23" i="309"/>
  <c r="V22" i="307"/>
  <c r="W23" i="307"/>
  <c r="W23" i="306"/>
  <c r="V22" i="306"/>
  <c r="V22" i="303"/>
  <c r="W23" i="303"/>
  <c r="W23" i="298"/>
  <c r="V22" i="298"/>
  <c r="V22" i="289"/>
  <c r="W23" i="289"/>
  <c r="W23" i="282"/>
  <c r="V22" i="282"/>
  <c r="W23" i="316"/>
  <c r="V22" i="316"/>
  <c r="W23" i="338"/>
  <c r="V22" i="338"/>
  <c r="V22" i="305"/>
  <c r="W23" i="305"/>
  <c r="V22" i="329"/>
  <c r="W23" i="329"/>
  <c r="U10" i="341"/>
  <c r="U10" i="338"/>
  <c r="U10" i="337"/>
  <c r="U10" i="336"/>
  <c r="U10" i="335"/>
  <c r="U10" i="334"/>
  <c r="U10" i="324"/>
  <c r="U10" i="323"/>
  <c r="U10" i="322"/>
  <c r="U10" i="309"/>
  <c r="U10" i="307"/>
  <c r="U10" i="306"/>
  <c r="U10" i="305"/>
  <c r="U10" i="303"/>
  <c r="U10" i="329"/>
  <c r="U10" i="316"/>
  <c r="U10" i="298"/>
  <c r="U10" i="294"/>
  <c r="U10" i="292"/>
  <c r="U10" i="282"/>
  <c r="U10" i="280"/>
  <c r="U10" i="276"/>
  <c r="U10" i="330"/>
  <c r="U10" i="319"/>
  <c r="U10" i="289"/>
  <c r="U10" i="281"/>
  <c r="U10" i="279"/>
  <c r="X2" i="1"/>
  <c r="W1" i="1"/>
  <c r="X23" i="386" l="1"/>
  <c r="W22" i="386"/>
  <c r="V10" i="384"/>
  <c r="V10" i="386"/>
  <c r="W23" i="377"/>
  <c r="V22" i="377"/>
  <c r="W23" i="378"/>
  <c r="V22" i="378"/>
  <c r="X23" i="375"/>
  <c r="W22" i="375"/>
  <c r="W23" i="382"/>
  <c r="V22" i="382"/>
  <c r="W23" i="379"/>
  <c r="V22" i="379"/>
  <c r="W23" i="381"/>
  <c r="V22" i="381"/>
  <c r="W23" i="384"/>
  <c r="V22" i="384"/>
  <c r="W23" i="374"/>
  <c r="V22" i="374"/>
  <c r="V10" i="382"/>
  <c r="V10" i="378"/>
  <c r="V10" i="379"/>
  <c r="V10" i="381"/>
  <c r="V10" i="375"/>
  <c r="V10" i="377"/>
  <c r="V10" i="374"/>
  <c r="X23" i="371"/>
  <c r="W22" i="371"/>
  <c r="W23" i="370"/>
  <c r="V22" i="370"/>
  <c r="V10" i="369"/>
  <c r="V10" i="371"/>
  <c r="V10" i="370"/>
  <c r="X23" i="351"/>
  <c r="W22" i="351"/>
  <c r="W23" i="361"/>
  <c r="V22" i="361"/>
  <c r="W23" i="363"/>
  <c r="V22" i="363"/>
  <c r="W23" i="364"/>
  <c r="V22" i="364"/>
  <c r="W23" i="367"/>
  <c r="V22" i="367"/>
  <c r="W23" i="356"/>
  <c r="V22" i="356"/>
  <c r="W23" i="368"/>
  <c r="V22" i="368"/>
  <c r="W23" i="362"/>
  <c r="V22" i="362"/>
  <c r="W22" i="369"/>
  <c r="X23" i="369"/>
  <c r="W23" i="359"/>
  <c r="V22" i="359"/>
  <c r="W23" i="360"/>
  <c r="V22" i="360"/>
  <c r="V10" i="367"/>
  <c r="V10" i="368"/>
  <c r="V10" i="361"/>
  <c r="V10" i="356"/>
  <c r="V10" i="363"/>
  <c r="V10" i="360"/>
  <c r="V10" i="362"/>
  <c r="V10" i="359"/>
  <c r="V10" i="364"/>
  <c r="V10" i="351"/>
  <c r="BE2" i="1"/>
  <c r="BD1" i="1"/>
  <c r="W22" i="347"/>
  <c r="X23" i="347"/>
  <c r="V10" i="347"/>
  <c r="V22" i="342"/>
  <c r="W23" i="342"/>
  <c r="V22" i="280"/>
  <c r="W23" i="280"/>
  <c r="W22" i="345"/>
  <c r="X23" i="345"/>
  <c r="V10" i="345"/>
  <c r="V10" i="342"/>
  <c r="W22" i="330"/>
  <c r="X23" i="330"/>
  <c r="X23" i="292"/>
  <c r="W22" i="292"/>
  <c r="W22" i="324"/>
  <c r="X23" i="324"/>
  <c r="W22" i="319"/>
  <c r="X23" i="319"/>
  <c r="X23" i="281"/>
  <c r="W22" i="281"/>
  <c r="W22" i="279"/>
  <c r="X23" i="279"/>
  <c r="X23" i="276"/>
  <c r="W22" i="276"/>
  <c r="X23" i="336"/>
  <c r="W22" i="336"/>
  <c r="W22" i="334"/>
  <c r="X23" i="334"/>
  <c r="W22" i="341"/>
  <c r="X23" i="341"/>
  <c r="W22" i="337"/>
  <c r="X23" i="337"/>
  <c r="X23" i="335"/>
  <c r="W22" i="335"/>
  <c r="W22" i="294"/>
  <c r="X23" i="294"/>
  <c r="W22" i="323"/>
  <c r="X23" i="323"/>
  <c r="X23" i="322"/>
  <c r="W22" i="322"/>
  <c r="W22" i="309"/>
  <c r="X23" i="309"/>
  <c r="X23" i="307"/>
  <c r="W22" i="307"/>
  <c r="W22" i="306"/>
  <c r="X23" i="306"/>
  <c r="X23" i="303"/>
  <c r="W22" i="303"/>
  <c r="W22" i="298"/>
  <c r="X23" i="298"/>
  <c r="W22" i="289"/>
  <c r="X23" i="289"/>
  <c r="X23" i="282"/>
  <c r="W22" i="282"/>
  <c r="X23" i="316"/>
  <c r="W22" i="316"/>
  <c r="W22" i="338"/>
  <c r="X23" i="338"/>
  <c r="X23" i="305"/>
  <c r="W22" i="305"/>
  <c r="X23" i="329"/>
  <c r="W22" i="329"/>
  <c r="V10" i="341"/>
  <c r="V10" i="338"/>
  <c r="V10" i="337"/>
  <c r="V10" i="336"/>
  <c r="V10" i="335"/>
  <c r="V10" i="334"/>
  <c r="V10" i="324"/>
  <c r="V10" i="323"/>
  <c r="V10" i="322"/>
  <c r="V10" i="309"/>
  <c r="V10" i="307"/>
  <c r="V10" i="306"/>
  <c r="V10" i="305"/>
  <c r="V10" i="303"/>
  <c r="V10" i="330"/>
  <c r="V10" i="329"/>
  <c r="V10" i="319"/>
  <c r="V10" i="316"/>
  <c r="V10" i="298"/>
  <c r="V10" i="294"/>
  <c r="V10" i="292"/>
  <c r="V10" i="282"/>
  <c r="V10" i="276"/>
  <c r="V10" i="289"/>
  <c r="V10" i="281"/>
  <c r="V10" i="280"/>
  <c r="V10" i="279"/>
  <c r="Y2" i="1"/>
  <c r="X1" i="1"/>
  <c r="X22" i="386" l="1"/>
  <c r="Y23" i="386"/>
  <c r="W10" i="384"/>
  <c r="W10" i="386"/>
  <c r="X23" i="374"/>
  <c r="W22" i="374"/>
  <c r="X23" i="382"/>
  <c r="W22" i="382"/>
  <c r="X23" i="384"/>
  <c r="W22" i="384"/>
  <c r="Y23" i="375"/>
  <c r="X22" i="375"/>
  <c r="X23" i="381"/>
  <c r="W22" i="381"/>
  <c r="X23" i="378"/>
  <c r="W22" i="378"/>
  <c r="X23" i="379"/>
  <c r="W22" i="379"/>
  <c r="X23" i="377"/>
  <c r="W22" i="377"/>
  <c r="W10" i="379"/>
  <c r="W10" i="381"/>
  <c r="W10" i="378"/>
  <c r="W10" i="382"/>
  <c r="W10" i="375"/>
  <c r="W10" i="377"/>
  <c r="W10" i="374"/>
  <c r="X23" i="370"/>
  <c r="W22" i="370"/>
  <c r="Y23" i="371"/>
  <c r="X22" i="371"/>
  <c r="W10" i="369"/>
  <c r="W10" i="370"/>
  <c r="W10" i="371"/>
  <c r="X23" i="356"/>
  <c r="W22" i="356"/>
  <c r="X23" i="360"/>
  <c r="W22" i="360"/>
  <c r="X23" i="367"/>
  <c r="W22" i="367"/>
  <c r="X23" i="359"/>
  <c r="W22" i="359"/>
  <c r="X23" i="362"/>
  <c r="W22" i="362"/>
  <c r="X23" i="364"/>
  <c r="W22" i="364"/>
  <c r="X23" i="361"/>
  <c r="W22" i="361"/>
  <c r="X22" i="369"/>
  <c r="Y23" i="369"/>
  <c r="X23" i="368"/>
  <c r="W22" i="368"/>
  <c r="X23" i="363"/>
  <c r="W22" i="363"/>
  <c r="Y23" i="351"/>
  <c r="X22" i="351"/>
  <c r="W10" i="367"/>
  <c r="W10" i="368"/>
  <c r="W10" i="363"/>
  <c r="W10" i="360"/>
  <c r="W10" i="362"/>
  <c r="W10" i="359"/>
  <c r="W10" i="364"/>
  <c r="W10" i="356"/>
  <c r="W10" i="361"/>
  <c r="W10" i="351"/>
  <c r="BF2" i="1"/>
  <c r="BE1" i="1"/>
  <c r="X22" i="347"/>
  <c r="Y23" i="347"/>
  <c r="W10" i="347"/>
  <c r="W22" i="342"/>
  <c r="X23" i="342"/>
  <c r="X23" i="280"/>
  <c r="W22" i="280"/>
  <c r="X22" i="345"/>
  <c r="Y23" i="345"/>
  <c r="W10" i="345"/>
  <c r="W10" i="342"/>
  <c r="X22" i="330"/>
  <c r="Y23" i="330"/>
  <c r="Y23" i="292"/>
  <c r="X22" i="292"/>
  <c r="Y23" i="324"/>
  <c r="X22" i="324"/>
  <c r="Y23" i="319"/>
  <c r="X22" i="319"/>
  <c r="X22" i="281"/>
  <c r="Y23" i="281"/>
  <c r="Y23" i="279"/>
  <c r="X22" i="279"/>
  <c r="Y23" i="276"/>
  <c r="X22" i="276"/>
  <c r="Y23" i="336"/>
  <c r="X22" i="336"/>
  <c r="Y23" i="334"/>
  <c r="X22" i="334"/>
  <c r="Y23" i="341"/>
  <c r="X22" i="341"/>
  <c r="Y23" i="337"/>
  <c r="X22" i="337"/>
  <c r="X22" i="335"/>
  <c r="Y23" i="335"/>
  <c r="Y23" i="294"/>
  <c r="X22" i="294"/>
  <c r="Y23" i="323"/>
  <c r="X22" i="323"/>
  <c r="X22" i="322"/>
  <c r="Y23" i="322"/>
  <c r="Y23" i="309"/>
  <c r="X22" i="309"/>
  <c r="Y23" i="307"/>
  <c r="X22" i="307"/>
  <c r="X22" i="306"/>
  <c r="Y23" i="306"/>
  <c r="X22" i="303"/>
  <c r="Y23" i="303"/>
  <c r="X22" i="298"/>
  <c r="Y23" i="298"/>
  <c r="Y23" i="289"/>
  <c r="X22" i="289"/>
  <c r="Y23" i="282"/>
  <c r="X22" i="282"/>
  <c r="X22" i="316"/>
  <c r="Y23" i="316"/>
  <c r="Y23" i="338"/>
  <c r="X22" i="338"/>
  <c r="Y23" i="305"/>
  <c r="X22" i="305"/>
  <c r="Y23" i="329"/>
  <c r="X22" i="329"/>
  <c r="Z2" i="1"/>
  <c r="W10" i="341"/>
  <c r="W10" i="329"/>
  <c r="W10" i="338"/>
  <c r="W10" i="337"/>
  <c r="W10" i="316"/>
  <c r="W10" i="336"/>
  <c r="W10" i="298"/>
  <c r="W10" i="335"/>
  <c r="W10" i="334"/>
  <c r="W10" i="294"/>
  <c r="W10" i="324"/>
  <c r="W10" i="323"/>
  <c r="W10" i="292"/>
  <c r="W10" i="322"/>
  <c r="W10" i="282"/>
  <c r="W10" i="280"/>
  <c r="W10" i="276"/>
  <c r="W10" i="330"/>
  <c r="W10" i="319"/>
  <c r="W10" i="309"/>
  <c r="W10" i="289"/>
  <c r="W10" i="307"/>
  <c r="W10" i="306"/>
  <c r="W10" i="305"/>
  <c r="W10" i="303"/>
  <c r="W10" i="281"/>
  <c r="W10" i="279"/>
  <c r="Y1" i="1"/>
  <c r="Z23" i="386" l="1"/>
  <c r="Y22" i="386"/>
  <c r="X10" i="384"/>
  <c r="X10" i="386"/>
  <c r="Y23" i="377"/>
  <c r="X22" i="377"/>
  <c r="Z23" i="375"/>
  <c r="Y22" i="375"/>
  <c r="Y23" i="379"/>
  <c r="X22" i="379"/>
  <c r="X22" i="384"/>
  <c r="Y23" i="384"/>
  <c r="Y23" i="378"/>
  <c r="X22" i="378"/>
  <c r="Y23" i="382"/>
  <c r="X22" i="382"/>
  <c r="Y23" i="381"/>
  <c r="X22" i="381"/>
  <c r="Y23" i="374"/>
  <c r="X22" i="374"/>
  <c r="X10" i="382"/>
  <c r="X10" i="378"/>
  <c r="X10" i="381"/>
  <c r="X10" i="379"/>
  <c r="X10" i="375"/>
  <c r="X10" i="377"/>
  <c r="X10" i="374"/>
  <c r="Z23" i="371"/>
  <c r="Y22" i="371"/>
  <c r="Y23" i="370"/>
  <c r="X22" i="370"/>
  <c r="X10" i="369"/>
  <c r="X10" i="370"/>
  <c r="X10" i="371"/>
  <c r="Z23" i="351"/>
  <c r="Y22" i="351"/>
  <c r="Y23" i="361"/>
  <c r="X22" i="361"/>
  <c r="Y23" i="363"/>
  <c r="X22" i="363"/>
  <c r="Y23" i="364"/>
  <c r="X22" i="364"/>
  <c r="Y23" i="367"/>
  <c r="X22" i="367"/>
  <c r="Y23" i="356"/>
  <c r="X22" i="356"/>
  <c r="Y23" i="368"/>
  <c r="X22" i="368"/>
  <c r="Y23" i="362"/>
  <c r="X22" i="362"/>
  <c r="Y22" i="369"/>
  <c r="Z23" i="369"/>
  <c r="X22" i="359"/>
  <c r="Y23" i="359"/>
  <c r="Y23" i="360"/>
  <c r="X22" i="360"/>
  <c r="X10" i="367"/>
  <c r="X10" i="368"/>
  <c r="X10" i="360"/>
  <c r="X10" i="362"/>
  <c r="X10" i="359"/>
  <c r="X10" i="364"/>
  <c r="X10" i="361"/>
  <c r="X10" i="356"/>
  <c r="X10" i="363"/>
  <c r="X10" i="351"/>
  <c r="BG2" i="1"/>
  <c r="BF1" i="1"/>
  <c r="Y22" i="347"/>
  <c r="Z23" i="347"/>
  <c r="X10" i="347"/>
  <c r="X22" i="342"/>
  <c r="Y23" i="342"/>
  <c r="Y23" i="280"/>
  <c r="X22" i="280"/>
  <c r="Y22" i="345"/>
  <c r="Z23" i="345"/>
  <c r="X10" i="345"/>
  <c r="X10" i="342"/>
  <c r="Y22" i="330"/>
  <c r="Z23" i="330"/>
  <c r="Y22" i="292"/>
  <c r="Z23" i="292"/>
  <c r="Z23" i="324"/>
  <c r="Y22" i="324"/>
  <c r="Z23" i="319"/>
  <c r="Y22" i="319"/>
  <c r="Z23" i="281"/>
  <c r="Y22" i="281"/>
  <c r="Y22" i="279"/>
  <c r="Z23" i="279"/>
  <c r="Z23" i="276"/>
  <c r="Y22" i="276"/>
  <c r="Z23" i="336"/>
  <c r="Y22" i="336"/>
  <c r="Z23" i="334"/>
  <c r="Y22" i="334"/>
  <c r="Z23" i="341"/>
  <c r="Y22" i="341"/>
  <c r="Z23" i="337"/>
  <c r="Y22" i="337"/>
  <c r="Z23" i="335"/>
  <c r="Y22" i="335"/>
  <c r="Y22" i="294"/>
  <c r="Z23" i="294"/>
  <c r="Z23" i="323"/>
  <c r="Y22" i="323"/>
  <c r="Z23" i="322"/>
  <c r="Y22" i="322"/>
  <c r="Z23" i="309"/>
  <c r="Y22" i="309"/>
  <c r="Z23" i="307"/>
  <c r="Y22" i="307"/>
  <c r="Y22" i="306"/>
  <c r="Z23" i="306"/>
  <c r="Y22" i="303"/>
  <c r="Z23" i="303"/>
  <c r="Y22" i="298"/>
  <c r="Z23" i="298"/>
  <c r="Z23" i="289"/>
  <c r="Y22" i="289"/>
  <c r="Z23" i="282"/>
  <c r="Y22" i="282"/>
  <c r="Y22" i="316"/>
  <c r="Z23" i="316"/>
  <c r="Y22" i="338"/>
  <c r="Z23" i="338"/>
  <c r="Y22" i="305"/>
  <c r="Z23" i="305"/>
  <c r="Y22" i="329"/>
  <c r="Z23" i="329"/>
  <c r="X10" i="276"/>
  <c r="X10" i="330"/>
  <c r="X10" i="279"/>
  <c r="X10" i="280"/>
  <c r="X10" i="281"/>
  <c r="X10" i="282"/>
  <c r="X10" i="329"/>
  <c r="X10" i="292"/>
  <c r="X10" i="289"/>
  <c r="X10" i="298"/>
  <c r="X10" i="319"/>
  <c r="X10" i="294"/>
  <c r="X10" i="316"/>
  <c r="X10" i="303"/>
  <c r="X10" i="305"/>
  <c r="X10" i="306"/>
  <c r="X10" i="307"/>
  <c r="X10" i="309"/>
  <c r="X10" i="322"/>
  <c r="X10" i="323"/>
  <c r="X10" i="324"/>
  <c r="X10" i="334"/>
  <c r="X10" i="335"/>
  <c r="X10" i="336"/>
  <c r="X10" i="337"/>
  <c r="X10" i="338"/>
  <c r="X10" i="341"/>
  <c r="Z1" i="1"/>
  <c r="AA2" i="1"/>
  <c r="AA23" i="386" l="1"/>
  <c r="Z22" i="386"/>
  <c r="Y10" i="384"/>
  <c r="Y10" i="386"/>
  <c r="Z23" i="384"/>
  <c r="Y22" i="384"/>
  <c r="Z23" i="374"/>
  <c r="Y22" i="374"/>
  <c r="Z23" i="381"/>
  <c r="Y22" i="381"/>
  <c r="Z23" i="379"/>
  <c r="Y22" i="379"/>
  <c r="Z23" i="382"/>
  <c r="Y22" i="382"/>
  <c r="AA23" i="375"/>
  <c r="Z22" i="375"/>
  <c r="Z23" i="378"/>
  <c r="Y22" i="378"/>
  <c r="Z23" i="377"/>
  <c r="Y22" i="377"/>
  <c r="Y10" i="381"/>
  <c r="Y10" i="378"/>
  <c r="Y10" i="379"/>
  <c r="Y10" i="382"/>
  <c r="Y10" i="377"/>
  <c r="Y10" i="374"/>
  <c r="Y10" i="375"/>
  <c r="Z23" i="370"/>
  <c r="Y22" i="370"/>
  <c r="AA23" i="371"/>
  <c r="Z22" i="371"/>
  <c r="Y10" i="369"/>
  <c r="Y10" i="370"/>
  <c r="Y10" i="371"/>
  <c r="Z23" i="356"/>
  <c r="Y22" i="356"/>
  <c r="Z23" i="360"/>
  <c r="Y22" i="360"/>
  <c r="Z23" i="367"/>
  <c r="Y22" i="367"/>
  <c r="Y22" i="359"/>
  <c r="Z23" i="359"/>
  <c r="Z23" i="362"/>
  <c r="Y22" i="362"/>
  <c r="Z23" i="364"/>
  <c r="Y22" i="364"/>
  <c r="Z23" i="361"/>
  <c r="Y22" i="361"/>
  <c r="AA23" i="369"/>
  <c r="Z22" i="369"/>
  <c r="Z23" i="368"/>
  <c r="Y22" i="368"/>
  <c r="Z23" i="363"/>
  <c r="Y22" i="363"/>
  <c r="AA23" i="351"/>
  <c r="Z22" i="351"/>
  <c r="Y10" i="367"/>
  <c r="Y10" i="368"/>
  <c r="Y10" i="360"/>
  <c r="Y10" i="362"/>
  <c r="Y10" i="359"/>
  <c r="Y10" i="364"/>
  <c r="Y10" i="361"/>
  <c r="Y10" i="356"/>
  <c r="Y10" i="363"/>
  <c r="Y10" i="351"/>
  <c r="AB2" i="1"/>
  <c r="BH2" i="1"/>
  <c r="BI2" i="1" s="1"/>
  <c r="BG1" i="1"/>
  <c r="Z22" i="347"/>
  <c r="AA23" i="347"/>
  <c r="Y10" i="347"/>
  <c r="Z23" i="342"/>
  <c r="Y22" i="342"/>
  <c r="Y22" i="280"/>
  <c r="Z23" i="280"/>
  <c r="Z22" i="345"/>
  <c r="AA23" i="345"/>
  <c r="Y10" i="345"/>
  <c r="Y10" i="342"/>
  <c r="Z22" i="330"/>
  <c r="AA23" i="330"/>
  <c r="Z22" i="292"/>
  <c r="AA23" i="292"/>
  <c r="Z22" i="324"/>
  <c r="AA23" i="324"/>
  <c r="AA23" i="319"/>
  <c r="Z22" i="319"/>
  <c r="Z22" i="281"/>
  <c r="AA23" i="281"/>
  <c r="AA23" i="279"/>
  <c r="Z22" i="279"/>
  <c r="Z22" i="276"/>
  <c r="AA23" i="276"/>
  <c r="AA23" i="336"/>
  <c r="Z22" i="336"/>
  <c r="AA23" i="334"/>
  <c r="Z22" i="334"/>
  <c r="AA23" i="341"/>
  <c r="Z22" i="341"/>
  <c r="AA23" i="337"/>
  <c r="Z22" i="337"/>
  <c r="Z22" i="335"/>
  <c r="AA23" i="335"/>
  <c r="Z22" i="294"/>
  <c r="AA23" i="294"/>
  <c r="AA23" i="323"/>
  <c r="Z22" i="323"/>
  <c r="Z22" i="322"/>
  <c r="AA23" i="322"/>
  <c r="Z22" i="309"/>
  <c r="AA23" i="309"/>
  <c r="AA23" i="307"/>
  <c r="Z22" i="307"/>
  <c r="Z22" i="306"/>
  <c r="AA23" i="306"/>
  <c r="AA23" i="303"/>
  <c r="Z22" i="303"/>
  <c r="AA23" i="298"/>
  <c r="Z22" i="298"/>
  <c r="Z22" i="289"/>
  <c r="AA23" i="289"/>
  <c r="Z22" i="282"/>
  <c r="AA23" i="282"/>
  <c r="AA23" i="316"/>
  <c r="Z22" i="316"/>
  <c r="Z22" i="338"/>
  <c r="AA23" i="338"/>
  <c r="Z22" i="305"/>
  <c r="AA23" i="305"/>
  <c r="Z22" i="329"/>
  <c r="AA23" i="329"/>
  <c r="Y10" i="341"/>
  <c r="Y10" i="338"/>
  <c r="Y10" i="337"/>
  <c r="Y10" i="336"/>
  <c r="Y10" i="335"/>
  <c r="Y10" i="334"/>
  <c r="Y10" i="324"/>
  <c r="Y10" i="323"/>
  <c r="Y10" i="322"/>
  <c r="Y10" i="309"/>
  <c r="Y10" i="307"/>
  <c r="Y10" i="306"/>
  <c r="Y10" i="305"/>
  <c r="Y10" i="303"/>
  <c r="Y10" i="329"/>
  <c r="Y10" i="319"/>
  <c r="Y10" i="316"/>
  <c r="Y10" i="298"/>
  <c r="Y10" i="294"/>
  <c r="Y10" i="292"/>
  <c r="Y10" i="282"/>
  <c r="Y10" i="280"/>
  <c r="Y10" i="289"/>
  <c r="Y10" i="281"/>
  <c r="Y10" i="279"/>
  <c r="Y10" i="276"/>
  <c r="Y10" i="330"/>
  <c r="AA1" i="1"/>
  <c r="AB23" i="386" l="1"/>
  <c r="AA22" i="386"/>
  <c r="Z10" i="384"/>
  <c r="Z10" i="386"/>
  <c r="AA23" i="377"/>
  <c r="Z22" i="377"/>
  <c r="AA23" i="379"/>
  <c r="Z22" i="379"/>
  <c r="AA23" i="378"/>
  <c r="Z22" i="378"/>
  <c r="AA23" i="381"/>
  <c r="Z22" i="381"/>
  <c r="AB23" i="375"/>
  <c r="AA22" i="375"/>
  <c r="AA23" i="374"/>
  <c r="Z22" i="374"/>
  <c r="AA23" i="382"/>
  <c r="Z22" i="382"/>
  <c r="AA23" i="384"/>
  <c r="Z22" i="384"/>
  <c r="Z10" i="382"/>
  <c r="Z10" i="381"/>
  <c r="Z10" i="379"/>
  <c r="Z10" i="378"/>
  <c r="Z10" i="377"/>
  <c r="Z10" i="374"/>
  <c r="Z10" i="375"/>
  <c r="AB23" i="371"/>
  <c r="AA22" i="371"/>
  <c r="AA23" i="370"/>
  <c r="Z22" i="370"/>
  <c r="Z10" i="371"/>
  <c r="Z10" i="370"/>
  <c r="Z10" i="369"/>
  <c r="AC2" i="1"/>
  <c r="AB23" i="351"/>
  <c r="AA22" i="351"/>
  <c r="AA23" i="361"/>
  <c r="Z22" i="361"/>
  <c r="AA23" i="363"/>
  <c r="Z22" i="363"/>
  <c r="AA23" i="364"/>
  <c r="Z22" i="364"/>
  <c r="AA23" i="367"/>
  <c r="Z22" i="367"/>
  <c r="AA23" i="356"/>
  <c r="Z22" i="356"/>
  <c r="AA23" i="368"/>
  <c r="Z22" i="368"/>
  <c r="AA23" i="362"/>
  <c r="Z22" i="362"/>
  <c r="AA23" i="359"/>
  <c r="Z22" i="359"/>
  <c r="AB23" i="369"/>
  <c r="AA22" i="369"/>
  <c r="AA23" i="360"/>
  <c r="Z22" i="360"/>
  <c r="Z10" i="367"/>
  <c r="Z10" i="368"/>
  <c r="Z10" i="359"/>
  <c r="Z10" i="362"/>
  <c r="Z10" i="364"/>
  <c r="Z10" i="361"/>
  <c r="Z10" i="356"/>
  <c r="Z10" i="363"/>
  <c r="Z10" i="360"/>
  <c r="Z10" i="351"/>
  <c r="AB1" i="1"/>
  <c r="BH1" i="1"/>
  <c r="AA22" i="347"/>
  <c r="AB23" i="347"/>
  <c r="Z10" i="347"/>
  <c r="Z22" i="342"/>
  <c r="AA23" i="342"/>
  <c r="AA23" i="280"/>
  <c r="Z22" i="280"/>
  <c r="AA22" i="345"/>
  <c r="AB23" i="345"/>
  <c r="Z10" i="345"/>
  <c r="Z10" i="342"/>
  <c r="Z10" i="338"/>
  <c r="Z10" i="334"/>
  <c r="Z10" i="335"/>
  <c r="Z10" i="337"/>
  <c r="Z10" i="336"/>
  <c r="Z10" i="341"/>
  <c r="Z10" i="324"/>
  <c r="Z10" i="323"/>
  <c r="Z10" i="322"/>
  <c r="Z10" i="306"/>
  <c r="Z10" i="305"/>
  <c r="Z10" i="303"/>
  <c r="Z10" i="330"/>
  <c r="Z10" i="329"/>
  <c r="Z10" i="316"/>
  <c r="Z10" i="298"/>
  <c r="AA22" i="330"/>
  <c r="AB23" i="330"/>
  <c r="AA22" i="292"/>
  <c r="AB23" i="292"/>
  <c r="AA22" i="324"/>
  <c r="AB23" i="324"/>
  <c r="AA22" i="319"/>
  <c r="AB23" i="319"/>
  <c r="AA22" i="281"/>
  <c r="AB23" i="281"/>
  <c r="AA22" i="279"/>
  <c r="AB23" i="279"/>
  <c r="AA22" i="276"/>
  <c r="AB23" i="276"/>
  <c r="AA22" i="336"/>
  <c r="AB23" i="336"/>
  <c r="AB23" i="334"/>
  <c r="AA22" i="334"/>
  <c r="AB23" i="341"/>
  <c r="AA22" i="341"/>
  <c r="AA22" i="337"/>
  <c r="AB23" i="337"/>
  <c r="AA22" i="335"/>
  <c r="AB23" i="335"/>
  <c r="AB23" i="294"/>
  <c r="AA22" i="294"/>
  <c r="AA22" i="323"/>
  <c r="AB23" i="323"/>
  <c r="AB23" i="322"/>
  <c r="AA22" i="322"/>
  <c r="AB23" i="309"/>
  <c r="AA22" i="309"/>
  <c r="AB23" i="307"/>
  <c r="AA22" i="307"/>
  <c r="AA22" i="306"/>
  <c r="AB23" i="306"/>
  <c r="AA22" i="303"/>
  <c r="AB23" i="303"/>
  <c r="AA22" i="298"/>
  <c r="AB23" i="298"/>
  <c r="AA22" i="289"/>
  <c r="AB23" i="289"/>
  <c r="AB23" i="282"/>
  <c r="AA22" i="282"/>
  <c r="AA22" i="316"/>
  <c r="AB23" i="316"/>
  <c r="AA22" i="338"/>
  <c r="AB23" i="338"/>
  <c r="AA22" i="305"/>
  <c r="AB23" i="305"/>
  <c r="AA22" i="329"/>
  <c r="AB23" i="329"/>
  <c r="Z10" i="294"/>
  <c r="Z10" i="292"/>
  <c r="Z10" i="309"/>
  <c r="Z10" i="307"/>
  <c r="Z10" i="282"/>
  <c r="Z10" i="276"/>
  <c r="Z10" i="319"/>
  <c r="Z10" i="289"/>
  <c r="Z10" i="281"/>
  <c r="Z10" i="280"/>
  <c r="Z10" i="279"/>
  <c r="BI1" i="1"/>
  <c r="BJ2" i="1"/>
  <c r="AC23" i="386" l="1"/>
  <c r="AB22" i="386"/>
  <c r="AA10" i="384"/>
  <c r="AA10" i="386"/>
  <c r="AA10" i="369"/>
  <c r="AB23" i="384"/>
  <c r="AA22" i="384"/>
  <c r="AB23" i="381"/>
  <c r="AA22" i="381"/>
  <c r="AB23" i="382"/>
  <c r="AA22" i="382"/>
  <c r="AB23" i="378"/>
  <c r="AA22" i="378"/>
  <c r="AB23" i="374"/>
  <c r="AA22" i="374"/>
  <c r="AB23" i="379"/>
  <c r="AA22" i="379"/>
  <c r="AC23" i="375"/>
  <c r="AB22" i="375"/>
  <c r="AB23" i="377"/>
  <c r="AA22" i="377"/>
  <c r="AA10" i="381"/>
  <c r="AA10" i="379"/>
  <c r="AA10" i="382"/>
  <c r="AA10" i="378"/>
  <c r="AA10" i="374"/>
  <c r="AA10" i="375"/>
  <c r="AA10" i="377"/>
  <c r="AB23" i="370"/>
  <c r="AA22" i="370"/>
  <c r="AC23" i="371"/>
  <c r="AB22" i="371"/>
  <c r="AC1" i="1"/>
  <c r="AA10" i="370"/>
  <c r="AA10" i="371"/>
  <c r="AB23" i="356"/>
  <c r="AA22" i="356"/>
  <c r="AB23" i="360"/>
  <c r="AA22" i="360"/>
  <c r="AB23" i="367"/>
  <c r="AA22" i="367"/>
  <c r="AB22" i="369"/>
  <c r="AC23" i="369"/>
  <c r="AB23" i="362"/>
  <c r="AA22" i="362"/>
  <c r="AB23" i="364"/>
  <c r="AA22" i="364"/>
  <c r="AB23" i="361"/>
  <c r="AA22" i="361"/>
  <c r="AB23" i="359"/>
  <c r="AA22" i="359"/>
  <c r="AB23" i="368"/>
  <c r="AA22" i="368"/>
  <c r="AB23" i="363"/>
  <c r="AA22" i="363"/>
  <c r="AC23" i="351"/>
  <c r="AB22" i="351"/>
  <c r="AA10" i="367"/>
  <c r="AA10" i="368"/>
  <c r="AA10" i="362"/>
  <c r="AA10" i="359"/>
  <c r="AA10" i="364"/>
  <c r="AA10" i="361"/>
  <c r="AA10" i="356"/>
  <c r="AA10" i="363"/>
  <c r="AA10" i="360"/>
  <c r="AA10" i="351"/>
  <c r="AB22" i="347"/>
  <c r="AC23" i="347"/>
  <c r="AA10" i="347"/>
  <c r="AA22" i="342"/>
  <c r="AB23" i="342"/>
  <c r="AA22" i="280"/>
  <c r="AB23" i="280"/>
  <c r="AB22" i="345"/>
  <c r="AC23" i="345"/>
  <c r="AA10" i="345"/>
  <c r="AA10" i="342"/>
  <c r="AC23" i="330"/>
  <c r="AB22" i="330"/>
  <c r="AB22" i="292"/>
  <c r="AC23" i="292"/>
  <c r="AC23" i="324"/>
  <c r="AB22" i="324"/>
  <c r="AB22" i="319"/>
  <c r="AC23" i="319"/>
  <c r="AC23" i="281"/>
  <c r="AB22" i="281"/>
  <c r="AC23" i="279"/>
  <c r="AB22" i="279"/>
  <c r="AC23" i="276"/>
  <c r="AB22" i="276"/>
  <c r="AC23" i="336"/>
  <c r="AB22" i="336"/>
  <c r="AB22" i="334"/>
  <c r="AC23" i="334"/>
  <c r="AC23" i="341"/>
  <c r="AB22" i="341"/>
  <c r="AB22" i="337"/>
  <c r="AC23" i="337"/>
  <c r="AC23" i="335"/>
  <c r="AB22" i="335"/>
  <c r="AB22" i="294"/>
  <c r="AC23" i="294"/>
  <c r="AB22" i="323"/>
  <c r="AC23" i="323"/>
  <c r="AC23" i="322"/>
  <c r="AB22" i="322"/>
  <c r="AB22" i="309"/>
  <c r="AC23" i="309"/>
  <c r="AC23" i="307"/>
  <c r="AB22" i="307"/>
  <c r="AB22" i="306"/>
  <c r="AC23" i="306"/>
  <c r="AC23" i="303"/>
  <c r="AB22" i="303"/>
  <c r="AB22" i="298"/>
  <c r="AC23" i="298"/>
  <c r="AB22" i="289"/>
  <c r="AC23" i="289"/>
  <c r="AC23" i="282"/>
  <c r="AB22" i="282"/>
  <c r="AB22" i="316"/>
  <c r="AC23" i="316"/>
  <c r="AC23" i="338"/>
  <c r="AB22" i="338"/>
  <c r="AC23" i="305"/>
  <c r="AB22" i="305"/>
  <c r="AB22" i="329"/>
  <c r="AC23" i="329"/>
  <c r="AA10" i="341"/>
  <c r="AA10" i="338"/>
  <c r="AA10" i="337"/>
  <c r="AA10" i="336"/>
  <c r="AA10" i="335"/>
  <c r="AA10" i="334"/>
  <c r="AA10" i="324"/>
  <c r="AA10" i="323"/>
  <c r="AA10" i="322"/>
  <c r="AA10" i="309"/>
  <c r="AA10" i="307"/>
  <c r="AA10" i="306"/>
  <c r="AA10" i="305"/>
  <c r="AA10" i="303"/>
  <c r="AA10" i="330"/>
  <c r="AA10" i="329"/>
  <c r="AA10" i="316"/>
  <c r="AA10" i="298"/>
  <c r="AA10" i="294"/>
  <c r="AA10" i="292"/>
  <c r="AA10" i="282"/>
  <c r="AA10" i="276"/>
  <c r="AA10" i="319"/>
  <c r="AA10" i="289"/>
  <c r="AA10" i="281"/>
  <c r="AA10" i="280"/>
  <c r="AA10" i="279"/>
  <c r="AD2" i="1"/>
  <c r="BK2" i="1"/>
  <c r="BJ1" i="1"/>
  <c r="AD23" i="386" l="1"/>
  <c r="AC22" i="386"/>
  <c r="AB10" i="384"/>
  <c r="AB10" i="386"/>
  <c r="AC23" i="377"/>
  <c r="AB22" i="377"/>
  <c r="AC23" i="378"/>
  <c r="AB22" i="378"/>
  <c r="AD23" i="375"/>
  <c r="AC22" i="375"/>
  <c r="AC23" i="382"/>
  <c r="AB22" i="382"/>
  <c r="AC23" i="379"/>
  <c r="AB22" i="379"/>
  <c r="AC23" i="381"/>
  <c r="AB22" i="381"/>
  <c r="AC23" i="374"/>
  <c r="AB22" i="374"/>
  <c r="AC23" i="384"/>
  <c r="AB22" i="384"/>
  <c r="AB10" i="379"/>
  <c r="AB10" i="382"/>
  <c r="AB10" i="381"/>
  <c r="AB10" i="378"/>
  <c r="AB10" i="375"/>
  <c r="AB10" i="377"/>
  <c r="AB10" i="374"/>
  <c r="AD23" i="371"/>
  <c r="AC22" i="371"/>
  <c r="AC23" i="370"/>
  <c r="AB22" i="370"/>
  <c r="AB10" i="369"/>
  <c r="AB10" i="370"/>
  <c r="AB10" i="371"/>
  <c r="AD23" i="351"/>
  <c r="AC22" i="351"/>
  <c r="AC23" i="361"/>
  <c r="AB22" i="361"/>
  <c r="AC23" i="363"/>
  <c r="AB22" i="363"/>
  <c r="AC23" i="364"/>
  <c r="AB22" i="364"/>
  <c r="AC23" i="367"/>
  <c r="AB22" i="367"/>
  <c r="AC23" i="356"/>
  <c r="AB22" i="356"/>
  <c r="AC23" i="368"/>
  <c r="AB22" i="368"/>
  <c r="AC23" i="362"/>
  <c r="AB22" i="362"/>
  <c r="AC22" i="369"/>
  <c r="AD23" i="369"/>
  <c r="AC23" i="359"/>
  <c r="AB22" i="359"/>
  <c r="AC23" i="360"/>
  <c r="AB22" i="360"/>
  <c r="AB10" i="367"/>
  <c r="AB10" i="368"/>
  <c r="AB10" i="364"/>
  <c r="AB10" i="361"/>
  <c r="AB10" i="356"/>
  <c r="AB10" i="363"/>
  <c r="AB10" i="360"/>
  <c r="AB10" i="359"/>
  <c r="AB10" i="362"/>
  <c r="AB10" i="351"/>
  <c r="AC22" i="347"/>
  <c r="AD23" i="347"/>
  <c r="AB10" i="347"/>
  <c r="AB22" i="342"/>
  <c r="AC23" i="342"/>
  <c r="AC23" i="280"/>
  <c r="AB22" i="280"/>
  <c r="AC22" i="345"/>
  <c r="AD23" i="345"/>
  <c r="AB10" i="345"/>
  <c r="AB10" i="342"/>
  <c r="AB10" i="322"/>
  <c r="AB10" i="324"/>
  <c r="AB10" i="323"/>
  <c r="AB10" i="334"/>
  <c r="AB10" i="336"/>
  <c r="AB10" i="337"/>
  <c r="AB10" i="335"/>
  <c r="AB10" i="341"/>
  <c r="AB10" i="338"/>
  <c r="AB10" i="309"/>
  <c r="AB10" i="307"/>
  <c r="AB10" i="306"/>
  <c r="AB10" i="305"/>
  <c r="AB10" i="303"/>
  <c r="AB10" i="316"/>
  <c r="AB10" i="298"/>
  <c r="AB10" i="294"/>
  <c r="AB10" i="292"/>
  <c r="AB10" i="282"/>
  <c r="AB10" i="280"/>
  <c r="AC22" i="330"/>
  <c r="AD23" i="330"/>
  <c r="AD23" i="292"/>
  <c r="AC22" i="292"/>
  <c r="AD23" i="324"/>
  <c r="AC22" i="324"/>
  <c r="AC22" i="319"/>
  <c r="AD23" i="319"/>
  <c r="AD23" i="281"/>
  <c r="AC22" i="281"/>
  <c r="AD23" i="279"/>
  <c r="AC22" i="279"/>
  <c r="AD23" i="276"/>
  <c r="AC22" i="276"/>
  <c r="AD23" i="336"/>
  <c r="AC22" i="336"/>
  <c r="AC22" i="334"/>
  <c r="AD23" i="334"/>
  <c r="AD23" i="341"/>
  <c r="AC22" i="341"/>
  <c r="AC22" i="337"/>
  <c r="AD23" i="337"/>
  <c r="AD23" i="335"/>
  <c r="AC22" i="335"/>
  <c r="AD23" i="294"/>
  <c r="AC22" i="294"/>
  <c r="AD23" i="323"/>
  <c r="AC22" i="323"/>
  <c r="AC22" i="322"/>
  <c r="AD23" i="322"/>
  <c r="AC22" i="309"/>
  <c r="AD23" i="309"/>
  <c r="AD23" i="307"/>
  <c r="AC22" i="307"/>
  <c r="AD23" i="306"/>
  <c r="AC22" i="306"/>
  <c r="AD23" i="303"/>
  <c r="AC22" i="303"/>
  <c r="AD23" i="298"/>
  <c r="AC22" i="298"/>
  <c r="AD23" i="289"/>
  <c r="AC22" i="289"/>
  <c r="AC22" i="282"/>
  <c r="AD23" i="282"/>
  <c r="AC22" i="316"/>
  <c r="AD23" i="316"/>
  <c r="AC22" i="338"/>
  <c r="AD23" i="338"/>
  <c r="AD23" i="305"/>
  <c r="AC22" i="305"/>
  <c r="AD23" i="329"/>
  <c r="AC22" i="329"/>
  <c r="AB10" i="276"/>
  <c r="AB10" i="319"/>
  <c r="AB10" i="289"/>
  <c r="AB10" i="281"/>
  <c r="AB10" i="279"/>
  <c r="AB10" i="330"/>
  <c r="AB10" i="329"/>
  <c r="AE2" i="1"/>
  <c r="AD1" i="1"/>
  <c r="BK1" i="1"/>
  <c r="BL2" i="1"/>
  <c r="AE23" i="386" l="1"/>
  <c r="AD22" i="386"/>
  <c r="AC10" i="384"/>
  <c r="AC10" i="386"/>
  <c r="AD23" i="384"/>
  <c r="AC22" i="384"/>
  <c r="AD23" i="382"/>
  <c r="AC22" i="382"/>
  <c r="AD23" i="374"/>
  <c r="AC22" i="374"/>
  <c r="AE23" i="375"/>
  <c r="AD22" i="375"/>
  <c r="AD23" i="381"/>
  <c r="AC22" i="381"/>
  <c r="AD23" i="378"/>
  <c r="AC22" i="378"/>
  <c r="AD23" i="379"/>
  <c r="AC22" i="379"/>
  <c r="AD23" i="377"/>
  <c r="AC22" i="377"/>
  <c r="AC10" i="379"/>
  <c r="AC10" i="382"/>
  <c r="AC10" i="381"/>
  <c r="AC10" i="378"/>
  <c r="AC10" i="375"/>
  <c r="AC10" i="377"/>
  <c r="AC10" i="374"/>
  <c r="AD23" i="370"/>
  <c r="AC22" i="370"/>
  <c r="AE23" i="371"/>
  <c r="AD22" i="371"/>
  <c r="AC10" i="369"/>
  <c r="AC10" i="371"/>
  <c r="AC10" i="370"/>
  <c r="AD23" i="356"/>
  <c r="AC22" i="356"/>
  <c r="AD23" i="360"/>
  <c r="AC22" i="360"/>
  <c r="AD23" i="367"/>
  <c r="AC22" i="367"/>
  <c r="AD23" i="359"/>
  <c r="AC22" i="359"/>
  <c r="AD23" i="362"/>
  <c r="AC22" i="362"/>
  <c r="AD23" i="364"/>
  <c r="AC22" i="364"/>
  <c r="AD23" i="361"/>
  <c r="AC22" i="361"/>
  <c r="AD22" i="369"/>
  <c r="AE23" i="369"/>
  <c r="AD23" i="368"/>
  <c r="AC22" i="368"/>
  <c r="AD23" i="363"/>
  <c r="AC22" i="363"/>
  <c r="AE23" i="351"/>
  <c r="AD22" i="351"/>
  <c r="AC10" i="367"/>
  <c r="AC10" i="368"/>
  <c r="AC10" i="361"/>
  <c r="AC10" i="363"/>
  <c r="AC10" i="360"/>
  <c r="AC10" i="362"/>
  <c r="AC10" i="359"/>
  <c r="AC10" i="364"/>
  <c r="AC10" i="356"/>
  <c r="AC10" i="351"/>
  <c r="AD22" i="347"/>
  <c r="AE23" i="347"/>
  <c r="AC10" i="347"/>
  <c r="AC22" i="342"/>
  <c r="AD23" i="342"/>
  <c r="AC22" i="280"/>
  <c r="AD23" i="280"/>
  <c r="AD22" i="345"/>
  <c r="AE23" i="345"/>
  <c r="AC10" i="345"/>
  <c r="AC10" i="342"/>
  <c r="AE23" i="330"/>
  <c r="AD22" i="330"/>
  <c r="AD22" i="292"/>
  <c r="AE23" i="292"/>
  <c r="AD22" i="324"/>
  <c r="AE23" i="324"/>
  <c r="AD22" i="319"/>
  <c r="AE23" i="319"/>
  <c r="AD22" i="281"/>
  <c r="AE23" i="281"/>
  <c r="AE23" i="279"/>
  <c r="AD22" i="279"/>
  <c r="AE23" i="276"/>
  <c r="AD22" i="276"/>
  <c r="AD22" i="336"/>
  <c r="AE23" i="336"/>
  <c r="AD22" i="334"/>
  <c r="AE23" i="334"/>
  <c r="AD22" i="341"/>
  <c r="AE23" i="341"/>
  <c r="AD22" i="337"/>
  <c r="AE23" i="337"/>
  <c r="AD22" i="335"/>
  <c r="AE23" i="335"/>
  <c r="AE23" i="294"/>
  <c r="AD22" i="294"/>
  <c r="AD22" i="323"/>
  <c r="AE23" i="323"/>
  <c r="AD22" i="322"/>
  <c r="AE23" i="322"/>
  <c r="AE23" i="309"/>
  <c r="AD22" i="309"/>
  <c r="AE23" i="307"/>
  <c r="AD22" i="307"/>
  <c r="AD22" i="306"/>
  <c r="AE23" i="306"/>
  <c r="AD22" i="303"/>
  <c r="AE23" i="303"/>
  <c r="AE23" i="298"/>
  <c r="AD22" i="298"/>
  <c r="AD22" i="289"/>
  <c r="AE23" i="289"/>
  <c r="AE23" i="282"/>
  <c r="AD22" i="282"/>
  <c r="AE23" i="316"/>
  <c r="AD22" i="316"/>
  <c r="AE23" i="338"/>
  <c r="AD22" i="338"/>
  <c r="AD22" i="305"/>
  <c r="AE23" i="305"/>
  <c r="AE23" i="329"/>
  <c r="AD22" i="329"/>
  <c r="AC10" i="341"/>
  <c r="AC10" i="338"/>
  <c r="AC10" i="337"/>
  <c r="AC10" i="336"/>
  <c r="AC10" i="335"/>
  <c r="AC10" i="334"/>
  <c r="AC10" i="324"/>
  <c r="AC10" i="323"/>
  <c r="AC10" i="322"/>
  <c r="AC10" i="309"/>
  <c r="AC10" i="307"/>
  <c r="AC10" i="306"/>
  <c r="AC10" i="305"/>
  <c r="AC10" i="303"/>
  <c r="AC10" i="329"/>
  <c r="AC10" i="316"/>
  <c r="AC10" i="298"/>
  <c r="AC10" i="294"/>
  <c r="AC10" i="292"/>
  <c r="AC10" i="282"/>
  <c r="AC10" i="276"/>
  <c r="AC10" i="330"/>
  <c r="AC10" i="319"/>
  <c r="AC10" i="289"/>
  <c r="AC10" i="281"/>
  <c r="AC10" i="280"/>
  <c r="AC10" i="279"/>
  <c r="AE1" i="1"/>
  <c r="AF2" i="1"/>
  <c r="BL1" i="1"/>
  <c r="BM2" i="1"/>
  <c r="AF23" i="386" l="1"/>
  <c r="AE22" i="386"/>
  <c r="AD10" i="384"/>
  <c r="AD10" i="386"/>
  <c r="AE23" i="377"/>
  <c r="AD22" i="377"/>
  <c r="AF23" i="375"/>
  <c r="AE22" i="375"/>
  <c r="AE23" i="379"/>
  <c r="AD22" i="379"/>
  <c r="AE23" i="374"/>
  <c r="AD22" i="374"/>
  <c r="AE23" i="378"/>
  <c r="AD22" i="378"/>
  <c r="AD22" i="382"/>
  <c r="AE23" i="382"/>
  <c r="AE23" i="381"/>
  <c r="AD22" i="381"/>
  <c r="AE23" i="384"/>
  <c r="AD22" i="384"/>
  <c r="AD10" i="382"/>
  <c r="AD10" i="378"/>
  <c r="AD10" i="381"/>
  <c r="AD10" i="379"/>
  <c r="AD10" i="375"/>
  <c r="AD10" i="377"/>
  <c r="AD10" i="374"/>
  <c r="AF23" i="371"/>
  <c r="AE22" i="371"/>
  <c r="AE23" i="370"/>
  <c r="AD22" i="370"/>
  <c r="AD10" i="369"/>
  <c r="AD10" i="371"/>
  <c r="AD10" i="370"/>
  <c r="AF23" i="351"/>
  <c r="AE22" i="351"/>
  <c r="AE23" i="361"/>
  <c r="AD22" i="361"/>
  <c r="AE23" i="363"/>
  <c r="AD22" i="363"/>
  <c r="AE23" i="364"/>
  <c r="AD22" i="364"/>
  <c r="AE23" i="367"/>
  <c r="AD22" i="367"/>
  <c r="AE23" i="356"/>
  <c r="AD22" i="356"/>
  <c r="AE23" i="368"/>
  <c r="AD22" i="368"/>
  <c r="AE23" i="362"/>
  <c r="AD22" i="362"/>
  <c r="AE22" i="369"/>
  <c r="AF23" i="369"/>
  <c r="AE23" i="359"/>
  <c r="AD22" i="359"/>
  <c r="AE23" i="360"/>
  <c r="AD22" i="360"/>
  <c r="AD10" i="367"/>
  <c r="AD10" i="368"/>
  <c r="AD10" i="361"/>
  <c r="AD10" i="356"/>
  <c r="AD10" i="363"/>
  <c r="AD10" i="360"/>
  <c r="AD10" i="362"/>
  <c r="AD10" i="359"/>
  <c r="AD10" i="364"/>
  <c r="AD10" i="351"/>
  <c r="AE22" i="347"/>
  <c r="AF23" i="347"/>
  <c r="AD10" i="347"/>
  <c r="AD22" i="342"/>
  <c r="AE23" i="342"/>
  <c r="AD22" i="280"/>
  <c r="AE23" i="280"/>
  <c r="AE22" i="345"/>
  <c r="AF23" i="345"/>
  <c r="AD10" i="345"/>
  <c r="AD10" i="342"/>
  <c r="AD10" i="334"/>
  <c r="AD10" i="336"/>
  <c r="AD10" i="335"/>
  <c r="AD10" i="338"/>
  <c r="AD10" i="337"/>
  <c r="AD10" i="341"/>
  <c r="AF23" i="330"/>
  <c r="AE22" i="330"/>
  <c r="AF23" i="292"/>
  <c r="AE22" i="292"/>
  <c r="AE22" i="324"/>
  <c r="AF23" i="324"/>
  <c r="AF23" i="319"/>
  <c r="AE22" i="319"/>
  <c r="AF23" i="281"/>
  <c r="AE22" i="281"/>
  <c r="AF23" i="279"/>
  <c r="AE22" i="279"/>
  <c r="AF23" i="276"/>
  <c r="AE22" i="276"/>
  <c r="AE22" i="336"/>
  <c r="AF23" i="336"/>
  <c r="AF23" i="334"/>
  <c r="AE22" i="334"/>
  <c r="AE22" i="341"/>
  <c r="AF23" i="341"/>
  <c r="AF23" i="337"/>
  <c r="AE22" i="337"/>
  <c r="AE22" i="335"/>
  <c r="AF23" i="335"/>
  <c r="AF23" i="294"/>
  <c r="AE22" i="294"/>
  <c r="AE22" i="323"/>
  <c r="AF23" i="323"/>
  <c r="AE22" i="322"/>
  <c r="AF23" i="322"/>
  <c r="AF23" i="309"/>
  <c r="AE22" i="309"/>
  <c r="AF23" i="307"/>
  <c r="AE22" i="307"/>
  <c r="AF23" i="306"/>
  <c r="AE22" i="306"/>
  <c r="AE22" i="303"/>
  <c r="AF23" i="303"/>
  <c r="AF23" i="298"/>
  <c r="AE22" i="298"/>
  <c r="AF23" i="289"/>
  <c r="AE22" i="289"/>
  <c r="AF23" i="282"/>
  <c r="AE22" i="282"/>
  <c r="AE22" i="316"/>
  <c r="AF23" i="316"/>
  <c r="AF23" i="338"/>
  <c r="AE22" i="338"/>
  <c r="AE22" i="305"/>
  <c r="AF23" i="305"/>
  <c r="AF23" i="329"/>
  <c r="AE22" i="329"/>
  <c r="AD10" i="324"/>
  <c r="AD10" i="323"/>
  <c r="AD10" i="322"/>
  <c r="AD10" i="309"/>
  <c r="AD10" i="307"/>
  <c r="AD10" i="306"/>
  <c r="AD10" i="305"/>
  <c r="AD10" i="303"/>
  <c r="AD10" i="330"/>
  <c r="AD10" i="329"/>
  <c r="AD10" i="319"/>
  <c r="AD10" i="316"/>
  <c r="AD10" i="298"/>
  <c r="AD10" i="294"/>
  <c r="AD10" i="292"/>
  <c r="AD10" i="282"/>
  <c r="AD10" i="280"/>
  <c r="AD10" i="276"/>
  <c r="AD10" i="289"/>
  <c r="AD10" i="281"/>
  <c r="AD10" i="279"/>
  <c r="AF1" i="1"/>
  <c r="AG2" i="1"/>
  <c r="BN2" i="1"/>
  <c r="BM1" i="1"/>
  <c r="AG23" i="386" l="1"/>
  <c r="AF22" i="386"/>
  <c r="AE10" i="384"/>
  <c r="AE10" i="386"/>
  <c r="AF23" i="384"/>
  <c r="AE22" i="384"/>
  <c r="AF23" i="374"/>
  <c r="AE22" i="374"/>
  <c r="AF23" i="381"/>
  <c r="AE22" i="381"/>
  <c r="AF23" i="379"/>
  <c r="AE22" i="379"/>
  <c r="AF23" i="382"/>
  <c r="AE22" i="382"/>
  <c r="AG23" i="375"/>
  <c r="AF22" i="375"/>
  <c r="AF23" i="378"/>
  <c r="AE22" i="378"/>
  <c r="AF23" i="377"/>
  <c r="AE22" i="377"/>
  <c r="AE10" i="379"/>
  <c r="AE10" i="382"/>
  <c r="AE10" i="381"/>
  <c r="AE10" i="378"/>
  <c r="AE10" i="375"/>
  <c r="AE10" i="377"/>
  <c r="AE10" i="374"/>
  <c r="AF23" i="370"/>
  <c r="AE22" i="370"/>
  <c r="AF22" i="371"/>
  <c r="AG23" i="371"/>
  <c r="AE10" i="369"/>
  <c r="AE10" i="370"/>
  <c r="AE10" i="371"/>
  <c r="AF23" i="356"/>
  <c r="AE22" i="356"/>
  <c r="AF23" i="360"/>
  <c r="AE22" i="360"/>
  <c r="AF23" i="367"/>
  <c r="AE22" i="367"/>
  <c r="AF23" i="359"/>
  <c r="AE22" i="359"/>
  <c r="AF23" i="362"/>
  <c r="AE22" i="362"/>
  <c r="AF23" i="364"/>
  <c r="AE22" i="364"/>
  <c r="AF23" i="361"/>
  <c r="AE22" i="361"/>
  <c r="AG23" i="369"/>
  <c r="AF22" i="369"/>
  <c r="AF23" i="368"/>
  <c r="AE22" i="368"/>
  <c r="AF23" i="363"/>
  <c r="AE22" i="363"/>
  <c r="AG23" i="351"/>
  <c r="AF22" i="351"/>
  <c r="AE10" i="367"/>
  <c r="AE10" i="368"/>
  <c r="AE10" i="363"/>
  <c r="AE10" i="360"/>
  <c r="AE10" i="362"/>
  <c r="AE10" i="359"/>
  <c r="AE10" i="364"/>
  <c r="AE10" i="356"/>
  <c r="AE10" i="361"/>
  <c r="AE10" i="351"/>
  <c r="AF22" i="347"/>
  <c r="AG23" i="347"/>
  <c r="AE10" i="341"/>
  <c r="AE10" i="347"/>
  <c r="AE10" i="338"/>
  <c r="AE10" i="337"/>
  <c r="AE10" i="336"/>
  <c r="AE10" i="335"/>
  <c r="AE10" i="334"/>
  <c r="AE10" i="324"/>
  <c r="AE10" i="323"/>
  <c r="AE10" i="322"/>
  <c r="AE22" i="342"/>
  <c r="AF23" i="342"/>
  <c r="AE22" i="280"/>
  <c r="AF23" i="280"/>
  <c r="AF22" i="345"/>
  <c r="AG23" i="345"/>
  <c r="AE10" i="345"/>
  <c r="AE10" i="342"/>
  <c r="AF22" i="330"/>
  <c r="AG23" i="330"/>
  <c r="AF22" i="292"/>
  <c r="AG23" i="292"/>
  <c r="AF22" i="324"/>
  <c r="AG23" i="324"/>
  <c r="AF22" i="319"/>
  <c r="AG23" i="319"/>
  <c r="AF22" i="281"/>
  <c r="AG23" i="281"/>
  <c r="AF22" i="279"/>
  <c r="AG23" i="279"/>
  <c r="AF22" i="276"/>
  <c r="AG23" i="276"/>
  <c r="AF22" i="336"/>
  <c r="AG23" i="336"/>
  <c r="AF22" i="334"/>
  <c r="AG23" i="334"/>
  <c r="AG23" i="341"/>
  <c r="AF22" i="341"/>
  <c r="AG23" i="337"/>
  <c r="AF22" i="337"/>
  <c r="AG23" i="335"/>
  <c r="AF22" i="335"/>
  <c r="AG23" i="294"/>
  <c r="AF22" i="294"/>
  <c r="AF22" i="323"/>
  <c r="AG23" i="323"/>
  <c r="AF22" i="322"/>
  <c r="AG23" i="322"/>
  <c r="AG23" i="309"/>
  <c r="AF22" i="309"/>
  <c r="AF22" i="307"/>
  <c r="AG23" i="307"/>
  <c r="AF22" i="306"/>
  <c r="AG23" i="306"/>
  <c r="AG23" i="303"/>
  <c r="AF22" i="303"/>
  <c r="AF22" i="298"/>
  <c r="AG23" i="298"/>
  <c r="AG23" i="289"/>
  <c r="AF22" i="289"/>
  <c r="AG23" i="282"/>
  <c r="AF22" i="282"/>
  <c r="AF22" i="316"/>
  <c r="AG23" i="316"/>
  <c r="AG23" i="338"/>
  <c r="AF22" i="338"/>
  <c r="AF22" i="305"/>
  <c r="AG23" i="305"/>
  <c r="AF22" i="329"/>
  <c r="AG23" i="329"/>
  <c r="AE10" i="309"/>
  <c r="AE10" i="307"/>
  <c r="AE10" i="306"/>
  <c r="AE10" i="305"/>
  <c r="AE10" i="303"/>
  <c r="AE10" i="329"/>
  <c r="AE10" i="316"/>
  <c r="AE10" i="298"/>
  <c r="AE10" i="294"/>
  <c r="AE10" i="292"/>
  <c r="AE10" i="282"/>
  <c r="AE10" i="276"/>
  <c r="AE10" i="330"/>
  <c r="AE10" i="319"/>
  <c r="AE10" i="289"/>
  <c r="AE10" i="281"/>
  <c r="AE10" i="280"/>
  <c r="AE10" i="279"/>
  <c r="AH2" i="1"/>
  <c r="AG1" i="1"/>
  <c r="BO2" i="1"/>
  <c r="BN1" i="1"/>
  <c r="AH23" i="386" l="1"/>
  <c r="AH22" i="386" s="1"/>
  <c r="AG22" i="386"/>
  <c r="AF10" i="384"/>
  <c r="AF10" i="386"/>
  <c r="AG23" i="377"/>
  <c r="AF22" i="377"/>
  <c r="AG23" i="379"/>
  <c r="AF22" i="379"/>
  <c r="AG23" i="378"/>
  <c r="AF22" i="378"/>
  <c r="AG23" i="381"/>
  <c r="AF22" i="381"/>
  <c r="AG22" i="375"/>
  <c r="AH23" i="375"/>
  <c r="AH22" i="375" s="1"/>
  <c r="AF22" i="374"/>
  <c r="AG23" i="374"/>
  <c r="AG23" i="382"/>
  <c r="AF22" i="382"/>
  <c r="AF22" i="384"/>
  <c r="AG23" i="384"/>
  <c r="AF10" i="382"/>
  <c r="AF10" i="381"/>
  <c r="AF10" i="378"/>
  <c r="AF10" i="379"/>
  <c r="AF10" i="375"/>
  <c r="AF10" i="377"/>
  <c r="AF10" i="374"/>
  <c r="AH23" i="371"/>
  <c r="AH22" i="371" s="1"/>
  <c r="AG22" i="371"/>
  <c r="AG23" i="370"/>
  <c r="AF22" i="370"/>
  <c r="AF10" i="369"/>
  <c r="AF10" i="370"/>
  <c r="AF10" i="371"/>
  <c r="AH23" i="351"/>
  <c r="AH22" i="351" s="1"/>
  <c r="AG22" i="351"/>
  <c r="AG23" i="361"/>
  <c r="AF22" i="361"/>
  <c r="AG23" i="363"/>
  <c r="AF22" i="363"/>
  <c r="AF22" i="364"/>
  <c r="AG23" i="364"/>
  <c r="AG23" i="367"/>
  <c r="AF22" i="367"/>
  <c r="AF22" i="356"/>
  <c r="AG23" i="356"/>
  <c r="AF22" i="368"/>
  <c r="AG23" i="368"/>
  <c r="AG23" i="362"/>
  <c r="AF22" i="362"/>
  <c r="AH23" i="369"/>
  <c r="AH22" i="369" s="1"/>
  <c r="AG22" i="369"/>
  <c r="AG23" i="359"/>
  <c r="AF22" i="359"/>
  <c r="AG23" i="360"/>
  <c r="AF22" i="360"/>
  <c r="AF10" i="367"/>
  <c r="AF10" i="368"/>
  <c r="AF10" i="360"/>
  <c r="AF10" i="362"/>
  <c r="AF10" i="359"/>
  <c r="AF10" i="364"/>
  <c r="AF10" i="361"/>
  <c r="AF10" i="356"/>
  <c r="AF10" i="363"/>
  <c r="AF10" i="351"/>
  <c r="AG22" i="347"/>
  <c r="AH23" i="347"/>
  <c r="AH22" i="347" s="1"/>
  <c r="AF10" i="347"/>
  <c r="AF22" i="342"/>
  <c r="AG23" i="342"/>
  <c r="AG23" i="280"/>
  <c r="AF22" i="280"/>
  <c r="AG22" i="345"/>
  <c r="AH23" i="345"/>
  <c r="AH22" i="345" s="1"/>
  <c r="AF10" i="345"/>
  <c r="AF10" i="342"/>
  <c r="AG22" i="330"/>
  <c r="AH23" i="330"/>
  <c r="AH22" i="330" s="1"/>
  <c r="AG22" i="292"/>
  <c r="AH23" i="292"/>
  <c r="AH22" i="292" s="1"/>
  <c r="AH23" i="324"/>
  <c r="AH22" i="324" s="1"/>
  <c r="AG22" i="324"/>
  <c r="AG22" i="319"/>
  <c r="AH23" i="319"/>
  <c r="AH22" i="319" s="1"/>
  <c r="AG22" i="281"/>
  <c r="AH23" i="281"/>
  <c r="AH22" i="281" s="1"/>
  <c r="AG22" i="279"/>
  <c r="AH23" i="279"/>
  <c r="AH22" i="279" s="1"/>
  <c r="AG22" i="276"/>
  <c r="AH23" i="276"/>
  <c r="AH22" i="276" s="1"/>
  <c r="AG22" i="336"/>
  <c r="AH23" i="336"/>
  <c r="AH22" i="336" s="1"/>
  <c r="AH23" i="334"/>
  <c r="AH22" i="334" s="1"/>
  <c r="AG22" i="334"/>
  <c r="AH23" i="341"/>
  <c r="AH22" i="341" s="1"/>
  <c r="AG22" i="341"/>
  <c r="AG22" i="337"/>
  <c r="AH23" i="337"/>
  <c r="AH22" i="337" s="1"/>
  <c r="AH23" i="335"/>
  <c r="AH22" i="335" s="1"/>
  <c r="AG22" i="335"/>
  <c r="AH23" i="294"/>
  <c r="AH22" i="294" s="1"/>
  <c r="AG22" i="294"/>
  <c r="AH23" i="323"/>
  <c r="AH22" i="323" s="1"/>
  <c r="AG22" i="323"/>
  <c r="AG22" i="322"/>
  <c r="AH23" i="322"/>
  <c r="AH22" i="322" s="1"/>
  <c r="AG22" i="309"/>
  <c r="AH23" i="309"/>
  <c r="AH22" i="309" s="1"/>
  <c r="AG22" i="307"/>
  <c r="AH23" i="307"/>
  <c r="AH22" i="307" s="1"/>
  <c r="AG22" i="306"/>
  <c r="AH23" i="306"/>
  <c r="AH22" i="306" s="1"/>
  <c r="AH23" i="303"/>
  <c r="AH22" i="303" s="1"/>
  <c r="AG22" i="303"/>
  <c r="AH23" i="298"/>
  <c r="AH22" i="298" s="1"/>
  <c r="AG22" i="298"/>
  <c r="AG22" i="289"/>
  <c r="AH23" i="289"/>
  <c r="AH22" i="289" s="1"/>
  <c r="AH23" i="282"/>
  <c r="AH22" i="282" s="1"/>
  <c r="AG22" i="282"/>
  <c r="AH23" i="316"/>
  <c r="AH22" i="316" s="1"/>
  <c r="AG22" i="316"/>
  <c r="AH23" i="338"/>
  <c r="AH22" i="338" s="1"/>
  <c r="AG22" i="338"/>
  <c r="AH23" i="305"/>
  <c r="AH22" i="305" s="1"/>
  <c r="AG22" i="305"/>
  <c r="AH23" i="329"/>
  <c r="AH22" i="329" s="1"/>
  <c r="AG22" i="329"/>
  <c r="AF10" i="341"/>
  <c r="AF10" i="338"/>
  <c r="AF10" i="337"/>
  <c r="AF10" i="336"/>
  <c r="AF10" i="335"/>
  <c r="AF10" i="334"/>
  <c r="AF10" i="324"/>
  <c r="AF10" i="323"/>
  <c r="AF10" i="322"/>
  <c r="AF10" i="309"/>
  <c r="AF10" i="307"/>
  <c r="AF10" i="306"/>
  <c r="AF10" i="305"/>
  <c r="AF10" i="303"/>
  <c r="AF10" i="330"/>
  <c r="AF10" i="329"/>
  <c r="AF10" i="316"/>
  <c r="AF10" i="298"/>
  <c r="AF10" i="294"/>
  <c r="AF10" i="292"/>
  <c r="AF10" i="282"/>
  <c r="AF10" i="276"/>
  <c r="AF10" i="319"/>
  <c r="AF10" i="289"/>
  <c r="AF10" i="281"/>
  <c r="AF10" i="280"/>
  <c r="AF10" i="279"/>
  <c r="AH1" i="1"/>
  <c r="AI2" i="1"/>
  <c r="BP2" i="1"/>
  <c r="BP1" i="1" s="1"/>
  <c r="BO1" i="1"/>
  <c r="AG10" i="384" l="1"/>
  <c r="AG10" i="386"/>
  <c r="AH23" i="384"/>
  <c r="AH22" i="384" s="1"/>
  <c r="AG22" i="384"/>
  <c r="AH23" i="381"/>
  <c r="AH22" i="381" s="1"/>
  <c r="AG22" i="381"/>
  <c r="AH23" i="382"/>
  <c r="AH22" i="382" s="1"/>
  <c r="AG22" i="382"/>
  <c r="AH23" i="378"/>
  <c r="AH22" i="378" s="1"/>
  <c r="AG22" i="378"/>
  <c r="AH23" i="374"/>
  <c r="AH22" i="374" s="1"/>
  <c r="AG22" i="374"/>
  <c r="AH23" i="379"/>
  <c r="AH22" i="379" s="1"/>
  <c r="AG22" i="379"/>
  <c r="AH23" i="377"/>
  <c r="AH22" i="377" s="1"/>
  <c r="AG22" i="377"/>
  <c r="AG10" i="381"/>
  <c r="AG10" i="378"/>
  <c r="AG10" i="379"/>
  <c r="AG10" i="382"/>
  <c r="AG10" i="377"/>
  <c r="AG10" i="374"/>
  <c r="AG10" i="375"/>
  <c r="AH23" i="370"/>
  <c r="AH22" i="370" s="1"/>
  <c r="AG22" i="370"/>
  <c r="AG10" i="369"/>
  <c r="AG10" i="370"/>
  <c r="AG10" i="371"/>
  <c r="AH23" i="356"/>
  <c r="AH22" i="356" s="1"/>
  <c r="AG22" i="356"/>
  <c r="AH23" i="360"/>
  <c r="AH22" i="360" s="1"/>
  <c r="AG22" i="360"/>
  <c r="AH23" i="362"/>
  <c r="AH22" i="362" s="1"/>
  <c r="AG22" i="362"/>
  <c r="AH23" i="367"/>
  <c r="AH22" i="367" s="1"/>
  <c r="AG22" i="367"/>
  <c r="AH23" i="361"/>
  <c r="AH22" i="361" s="1"/>
  <c r="AG22" i="361"/>
  <c r="AH23" i="368"/>
  <c r="AH22" i="368" s="1"/>
  <c r="AG22" i="368"/>
  <c r="AH23" i="364"/>
  <c r="AH22" i="364" s="1"/>
  <c r="AG22" i="364"/>
  <c r="AH23" i="359"/>
  <c r="AH22" i="359" s="1"/>
  <c r="AG22" i="359"/>
  <c r="AH23" i="363"/>
  <c r="AH22" i="363" s="1"/>
  <c r="AG22" i="363"/>
  <c r="AG10" i="367"/>
  <c r="AG10" i="368"/>
  <c r="AG10" i="360"/>
  <c r="AG10" i="362"/>
  <c r="AG10" i="359"/>
  <c r="AG10" i="364"/>
  <c r="AG10" i="361"/>
  <c r="AG10" i="356"/>
  <c r="AG10" i="363"/>
  <c r="AG10" i="351"/>
  <c r="AG10" i="347"/>
  <c r="AG22" i="342"/>
  <c r="AH23" i="342"/>
  <c r="AH22" i="342" s="1"/>
  <c r="AH23" i="280"/>
  <c r="AH22" i="280" s="1"/>
  <c r="AG22" i="280"/>
  <c r="AG10" i="345"/>
  <c r="AG10" i="342"/>
  <c r="AG10" i="338"/>
  <c r="AG10" i="337"/>
  <c r="AG10" i="336"/>
  <c r="AG10" i="335"/>
  <c r="AG10" i="334"/>
  <c r="AG10" i="324"/>
  <c r="AG10" i="323"/>
  <c r="AG10" i="322"/>
  <c r="AG10" i="309"/>
  <c r="AG10" i="307"/>
  <c r="AG10" i="306"/>
  <c r="AG10" i="305"/>
  <c r="AG10" i="303"/>
  <c r="AG10" i="330"/>
  <c r="AG10" i="329"/>
  <c r="AG10" i="316"/>
  <c r="AG10" i="298"/>
  <c r="AG10" i="294"/>
  <c r="AG10" i="292"/>
  <c r="AG10" i="282"/>
  <c r="AG10" i="276"/>
  <c r="AG10" i="319"/>
  <c r="AG10" i="289"/>
  <c r="AI1" i="1"/>
  <c r="AG10" i="341"/>
  <c r="AG10" i="281"/>
  <c r="AG10" i="280"/>
  <c r="AG10" i="279"/>
  <c r="AJ2" i="1"/>
  <c r="AJ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<sst xmlns="http://schemas.openxmlformats.org/spreadsheetml/2006/main" count="2009" uniqueCount="137">
  <si>
    <t>FILE #</t>
  </si>
  <si>
    <t>POSITION</t>
  </si>
  <si>
    <t>REMARKS</t>
  </si>
  <si>
    <t>CARPENTER</t>
  </si>
  <si>
    <t>PLUMBER</t>
  </si>
  <si>
    <t>ELECTRICIAN</t>
  </si>
  <si>
    <t>BRICK MASON</t>
  </si>
  <si>
    <t>BLOCK MASON</t>
  </si>
  <si>
    <t>PLASTER MASON</t>
  </si>
  <si>
    <t>NAJRE ALAM SHEKH MOHAMMAD ARIF</t>
  </si>
  <si>
    <t>MOHAMMAD IRFAN KHAN</t>
  </si>
  <si>
    <t>AQIB KHAN MUSLIM KHAN</t>
  </si>
  <si>
    <t>ARIF ABDUL WAHAB</t>
  </si>
  <si>
    <t>SAQIB REHMAN DLPAZEER AHMED</t>
  </si>
  <si>
    <t>AVINASH KUMAR PACHU RAM</t>
  </si>
  <si>
    <t>CONSTRUCTION WORKER</t>
  </si>
  <si>
    <t>MOHAMMAD RASHID MOHAMMAD SALIM</t>
  </si>
  <si>
    <t>MD NAWAZISH MD KAZIM</t>
  </si>
  <si>
    <t>TILE MASON</t>
  </si>
  <si>
    <t xml:space="preserve"> </t>
  </si>
  <si>
    <t>8521`23456794670</t>
  </si>
  <si>
    <t xml:space="preserve">طلب خارج الدوام Request for Over Time                     </t>
  </si>
  <si>
    <t>Work description</t>
  </si>
  <si>
    <t>رقم الموظف  |  Employee No</t>
  </si>
  <si>
    <t>اسم الموظف   | Employee Name</t>
  </si>
  <si>
    <t>شهر |  Month</t>
  </si>
  <si>
    <t xml:space="preserve"> Date | تاريخ</t>
  </si>
  <si>
    <t>ساعات العمل الإضافي  |  Overtime Hours</t>
  </si>
  <si>
    <t>مجموع ساعات العمل الإضافي | Total Overtime Hours</t>
  </si>
  <si>
    <t>DROP DOWN</t>
  </si>
  <si>
    <t>APRIL</t>
  </si>
  <si>
    <t>STARTING DATE</t>
  </si>
  <si>
    <t>Ending Date</t>
  </si>
  <si>
    <t>MAY</t>
  </si>
  <si>
    <t>الموافقة | Approval</t>
  </si>
  <si>
    <t xml:space="preserve"> Employee</t>
  </si>
  <si>
    <t xml:space="preserve">Line Manager </t>
  </si>
  <si>
    <t xml:space="preserve"> Department Head</t>
  </si>
  <si>
    <t>HR Manager</t>
  </si>
  <si>
    <t>MONTHS</t>
  </si>
  <si>
    <t>JANUARY</t>
  </si>
  <si>
    <t>FROM MONTH OF</t>
  </si>
  <si>
    <t>JULY</t>
  </si>
  <si>
    <t>FEBRUARY</t>
  </si>
  <si>
    <t>MARCH</t>
  </si>
  <si>
    <t xml:space="preserve">TO </t>
  </si>
  <si>
    <t>AUGUST</t>
  </si>
  <si>
    <t>JUNE</t>
  </si>
  <si>
    <t>SEPTEMBER</t>
  </si>
  <si>
    <t>OCTOBER</t>
  </si>
  <si>
    <t>NOVEMBER</t>
  </si>
  <si>
    <t>DECEMBER</t>
  </si>
  <si>
    <t xml:space="preserve">SAYYAD ALI AMJAD ALI </t>
  </si>
  <si>
    <t xml:space="preserve">SHAH HUSSAIN GHULAM DIN </t>
  </si>
  <si>
    <t xml:space="preserve">MOSIM AHMAD - NIJAMUDDEEN </t>
  </si>
  <si>
    <t xml:space="preserve">MANOJ SHARMA RAMASHANKAR SHARMA </t>
  </si>
  <si>
    <t xml:space="preserve">ARIF HUSSAIN MD HADISH ANSARI </t>
  </si>
  <si>
    <t>NAGENDRA KUMAR-PASWAN</t>
  </si>
  <si>
    <t>SARDAR ALI</t>
  </si>
  <si>
    <t>SURVEY DRIVER</t>
  </si>
  <si>
    <t>E00524</t>
  </si>
  <si>
    <t xml:space="preserve">SOMAN MIAH MD ABDUL </t>
  </si>
  <si>
    <t>HABIB ULLAH KHAN NOOR ULLAH</t>
  </si>
  <si>
    <t xml:space="preserve">LOGISTICS OFFICER </t>
  </si>
  <si>
    <t>SYED NISAR MEHDI</t>
  </si>
  <si>
    <t>SHAHID MEHMOOD MUHAMMAD ASHRAF</t>
  </si>
  <si>
    <t>RINKU KUMAR BHANWAR LAL</t>
  </si>
  <si>
    <t>RABI AHMAD MUHAMMAD ASGHAR</t>
  </si>
  <si>
    <t>JAHANZEB TANVEER TANVEER AHMED</t>
  </si>
  <si>
    <t>MITHLESH KUMAR RAJNANDAN YADAV</t>
  </si>
  <si>
    <t>SL #</t>
  </si>
  <si>
    <t>EMPLOYEE NAME</t>
  </si>
  <si>
    <t>DC &amp; ADMN.</t>
  </si>
  <si>
    <t>Site Teaboy / Office Boy / Friday Offices Cleaning</t>
  </si>
  <si>
    <t>ELEC. FOREMAN</t>
  </si>
  <si>
    <t>HEAVY EQUIP. MECHANIC</t>
  </si>
  <si>
    <t>MUHAMMAD QAMRAIZ SARFRAZ</t>
  </si>
  <si>
    <t>TEA BOY/OFFICE BOY</t>
  </si>
  <si>
    <t>On Duty Full Time : Store &amp; Logistics Helper – Night Duty (Material Receiving)</t>
  </si>
  <si>
    <t>On Duty Full Time - Mechanic Generator Maintainance and Equipments Repair</t>
  </si>
  <si>
    <t>MUHAMMAD HAFEEZ KHAN HASHIM KHAN</t>
  </si>
  <si>
    <t>HAMADH ISMAIL HASSAN OLAYWA</t>
  </si>
  <si>
    <t xml:space="preserve">SENIOR FOREMAN </t>
  </si>
  <si>
    <t>Night Security</t>
  </si>
  <si>
    <t>INTJAR  JULFUKAR</t>
  </si>
  <si>
    <t>AHMED SALAHELDIN IBRAHIM</t>
  </si>
  <si>
    <t>SAFETY SUPERVISOR</t>
  </si>
  <si>
    <t>-</t>
  </si>
  <si>
    <t>Co. Driver/Emp. Service/Night Security P&amp;D</t>
  </si>
  <si>
    <t xml:space="preserve">On Duty Full Time - Store &amp; Logistics Helper – Night Material Receiving </t>
  </si>
  <si>
    <t>LAMBERT CAINGAT MOLINA</t>
  </si>
  <si>
    <t>BARBAR HUSSAIN HAQ NAWAZ KHAN</t>
  </si>
  <si>
    <t>COMPANY</t>
  </si>
  <si>
    <t>EH</t>
  </si>
  <si>
    <t>V</t>
  </si>
  <si>
    <t xml:space="preserve">SANA ULLAH HASHAM KHAN </t>
  </si>
  <si>
    <t>MUHAMMAD GHANI SHAH MUHAMMAD RAHIM SHAH</t>
  </si>
  <si>
    <t>MASON</t>
  </si>
  <si>
    <t>JALAL KHAN MUHAMMAD TAHIR</t>
  </si>
  <si>
    <t>MUHAMMAD TOFIQUE MUHAMMAD SIDDIQUE</t>
  </si>
  <si>
    <t>SANDIP MAHTO MOHAR MAHTO</t>
  </si>
  <si>
    <t>JAY KUMAR - PURI</t>
  </si>
  <si>
    <t>AJAY KUMAR - JAYSAWAL</t>
  </si>
  <si>
    <t>MOHAMMAD FAREED MOHAMMAD WASEEM</t>
  </si>
  <si>
    <t>BUILDER MASON</t>
  </si>
  <si>
    <t>ZAHIR HAMEED SHAL HAMEED</t>
  </si>
  <si>
    <t>MECHANICAL FOREMAN</t>
  </si>
  <si>
    <t>RAMADAN RAMADAN ABDELHAMID ELGOHARY</t>
  </si>
  <si>
    <t>Site Time Keeper, Logistic and Gate Pass &amp; Multipl Tasks</t>
  </si>
  <si>
    <t>DEEN MOHAMMED JAFAR</t>
  </si>
  <si>
    <t>JAGDISH HEERA LAL</t>
  </si>
  <si>
    <t>On Annual Vacation From (28.June.2026   to   20.Aug.2026)</t>
  </si>
  <si>
    <t xml:space="preserve">DHARMENDRA SAHANI </t>
  </si>
  <si>
    <t>ZAKIR KHAN HAZRAT GUL</t>
  </si>
  <si>
    <t>MD MOKHTAR MD SALIM</t>
  </si>
  <si>
    <t>STEEL FIXER</t>
  </si>
  <si>
    <t>IQBAL MOFIZUR RAHMAN</t>
  </si>
  <si>
    <t>Loader Operator</t>
  </si>
  <si>
    <t>TILOK CHAND SHYOJI RAM</t>
  </si>
  <si>
    <t>Telescope Forklifter Operator</t>
  </si>
  <si>
    <t>MUNEEB MUJAHID MUJAHID HUSSAIN</t>
  </si>
  <si>
    <t>BUS DRIVER</t>
  </si>
  <si>
    <t xml:space="preserve">MOHAMED ABDELNABI ABURIYA </t>
  </si>
  <si>
    <t>FINISHING FOREMAN</t>
  </si>
  <si>
    <t xml:space="preserve">HAZIM GAMAL ALRASHEED </t>
  </si>
  <si>
    <t>SURVEYOR</t>
  </si>
  <si>
    <t xml:space="preserve">Sick Leave </t>
  </si>
  <si>
    <t>IMRAN MUNIR</t>
  </si>
  <si>
    <t>TOTAL OVERTIME</t>
  </si>
  <si>
    <t>TOTAL ABSENT</t>
  </si>
  <si>
    <t>On Annual Vacation From (01.Aug.2026   to   22.Sep.2026)</t>
  </si>
  <si>
    <t>MUHAMMAD TOQEER MUHAMMAD LATIF</t>
  </si>
  <si>
    <t>On Annual Vacation From (09.Aug.2026   to   8.Sep.2026)</t>
  </si>
  <si>
    <t>MOSTAFA MOHAMED MOSTAFA HAROUN</t>
  </si>
  <si>
    <t>A</t>
  </si>
  <si>
    <t>2 Days Internal Leave (29/30.Aug.2026)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</si>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</sst>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_ ;[Red]\-#,##0\ "/>
    <numFmt numFmtId="165" formatCode="#,##0.0"/>
    <numFmt numFmtId="166" formatCode="dd"/>
    <numFmt numFmtId="167" formatCode="[$-2000000]0.00\﻿"/>
    <numFmt numFmtId="168" formatCode="dd/mm/yyyy;@"/>
    <numFmt numFmtId="169" formatCode="[$-409]d\-mmm;@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24"/>
      <name val="Sakkal Majalla"/>
    </font>
    <font>
      <b/>
      <sz val="20"/>
      <name val="Sakkal Majalla"/>
    </font>
    <font>
      <sz val="8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14"/>
      <color theme="0"/>
      <name val="Andalus"/>
      <family val="1"/>
    </font>
    <font>
      <b/>
      <sz val="14"/>
      <name val="Calibri"/>
      <family val="2"/>
      <scheme val="minor"/>
    </font>
    <font>
      <b/>
      <sz val="20"/>
      <name val="Andalus"/>
      <family val="1"/>
    </font>
    <font>
      <sz val="5"/>
      <name val="Arial"/>
      <family val="2"/>
    </font>
    <font>
      <b/>
      <i/>
      <sz val="14"/>
      <color rgb="FFFF0000"/>
      <name val="Arial"/>
      <family val="2"/>
    </font>
    <font>
      <sz val="22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sz val="14"/>
      <name val="Arial Black"/>
      <family val="2"/>
    </font>
    <font>
      <sz val="10"/>
      <name val="Arial Black"/>
      <family val="2"/>
    </font>
    <font>
      <b/>
      <sz val="16"/>
      <name val="Sakkal Majalla"/>
    </font>
    <font>
      <sz val="8"/>
      <name val="Calibri"/>
      <family val="2"/>
      <scheme val="minor"/>
    </font>
    <font>
      <b/>
      <sz val="14"/>
      <color rgb="FFFF0000"/>
      <name val="Sakkal Majalla"/>
    </font>
    <font>
      <b/>
      <sz val="14"/>
      <color rgb="FF009900"/>
      <name val="Sakkal Majalla"/>
    </font>
    <font>
      <b/>
      <sz val="14"/>
      <color rgb="FF3333CC"/>
      <name val="Sakkal Majalla"/>
    </font>
    <font>
      <b/>
      <sz val="14"/>
      <name val="Sakkal Majalla"/>
    </font>
    <font>
      <sz val="14"/>
      <name val="Sakkal Majalla"/>
    </font>
    <font>
      <b/>
      <sz val="14"/>
      <color rgb="FF00B050"/>
      <name val="Sakkal Majalla"/>
    </font>
    <font>
      <sz val="14"/>
      <color rgb="FFFF0000"/>
      <name val="Sakkal Majalla"/>
    </font>
    <font>
      <sz val="14"/>
      <color theme="1"/>
      <name val="Sakkal Majalla"/>
    </font>
    <font>
      <b/>
      <sz val="14"/>
      <color theme="1"/>
      <name val="Sakkal Majalla"/>
    </font>
    <font>
      <b/>
      <sz val="15"/>
      <color theme="1"/>
      <name val="Sakkal Majalla"/>
    </font>
    <font>
      <b/>
      <sz val="15"/>
      <name val="Sakkal Majalla"/>
    </font>
    <font>
      <b/>
      <sz val="12"/>
      <name val="Sakkal Majalla"/>
    </font>
    <font>
      <b/>
      <sz val="12"/>
      <color rgb="FFFF0000"/>
      <name val="Sakkal Majalla"/>
    </font>
    <font>
      <b/>
      <sz val="14"/>
      <color rgb="FF9933FF"/>
      <name val="Sakkal Majalla"/>
    </font>
    <font>
      <b/>
      <sz val="18"/>
      <name val="Sakkal Majalla"/>
    </font>
    <font>
      <b/>
      <sz val="16"/>
      <color rgb="FFFF0000"/>
      <name val="Sakkal Majalla"/>
    </font>
    <font>
      <b/>
      <sz val="16"/>
      <color rgb="FFC00000"/>
      <name val="Sakkal Majalla"/>
    </font>
    <font>
      <sz val="10"/>
      <name val="Daytona"/>
      <family val="2"/>
    </font>
    <font>
      <b/>
      <sz val="10"/>
      <name val="Daytona"/>
      <family val="2"/>
    </font>
    <font>
      <b/>
      <sz val="16"/>
      <color rgb="FF0000CC"/>
      <name val="Sakkal Majalla"/>
    </font>
    <font>
      <sz val="16"/>
      <name val="Sakkal Majalla"/>
    </font>
    <font>
      <sz val="16"/>
      <color rgb="FF0000CC"/>
      <name val="Sakkal Majalla"/>
    </font>
    <font>
      <b/>
      <sz val="16"/>
      <color rgb="FF00B050"/>
      <name val="Sakkal Majalla"/>
    </font>
    <font>
      <b/>
      <sz val="10"/>
      <color rgb="FFFF0000"/>
      <name val="Sakkal Majalla"/>
    </font>
    <font>
      <b/>
      <sz val="10"/>
      <color rgb="FF00B0F0"/>
      <name val="Sakkal Majalla"/>
    </font>
    <font>
      <b/>
      <sz val="11"/>
      <color rgb="FFC00000"/>
      <name val="Sakkal Majalla"/>
    </font>
    <font>
      <b/>
      <sz val="16"/>
      <color rgb="FF000066"/>
      <name val="Sakkal Majalla"/>
    </font>
    <font>
      <b/>
      <sz val="12"/>
      <color rgb="FFC00000"/>
      <name val="Sakkal Majalla"/>
    </font>
    <font>
      <b/>
      <sz val="10"/>
      <name val="Sakkal Majalla"/>
    </font>
    <font>
      <b/>
      <sz val="12"/>
      <color theme="1"/>
      <name val="Sakkal Majalla"/>
    </font>
    <font>
      <sz val="16"/>
      <color theme="8"/>
      <name val="Sakkal Majalla"/>
    </font>
    <font>
      <b/>
      <sz val="10"/>
      <color theme="8"/>
      <name val="Sakkal Majalla"/>
    </font>
    <font>
      <sz val="16"/>
      <color theme="1"/>
      <name val="Sakkal Majalla"/>
    </font>
    <font>
      <sz val="16"/>
      <color rgb="FFFF0000"/>
      <name val="Sakkal Majalla"/>
    </font>
    <font>
      <sz val="16"/>
      <color theme="5"/>
      <name val="Sakkal Majalla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gradientFill degree="45">
        <stop position="0">
          <color theme="0"/>
        </stop>
        <stop position="1">
          <color theme="0"/>
        </stop>
      </gradientFill>
    </fill>
    <fill>
      <gradientFill type="path" left="0.5" right="0.5" top="0.5" bottom="0.5">
        <stop position="0">
          <color theme="0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/>
        </stop>
        <stop position="1">
          <color rgb="FFFFFFFF"/>
        </stop>
      </gradientFill>
    </fill>
    <fill>
      <gradientFill type="path" left="0.5" right="0.5" top="0.5" bottom="0.5">
        <stop position="0">
          <color theme="0"/>
        </stop>
        <stop position="1">
          <color rgb="FFFCF8FE"/>
        </stop>
      </gradient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auto="1"/>
      </patternFill>
    </fill>
    <fill>
      <patternFill patternType="solid">
        <fgColor theme="5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theme="2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2" tint="-0.499984740745262"/>
      </right>
      <top/>
      <bottom style="thin">
        <color indexed="64"/>
      </bottom>
      <diagonal/>
    </border>
    <border>
      <left style="medium">
        <color rgb="FFEFC7FD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2" tint="-0.24994659260841701"/>
      </bottom>
      <diagonal/>
    </border>
    <border>
      <left/>
      <right style="thin">
        <color indexed="64"/>
      </right>
      <top style="thin">
        <color indexed="64"/>
      </top>
      <bottom style="medium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medium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indexed="64"/>
      </bottom>
      <diagonal/>
    </border>
    <border>
      <left/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medium">
        <color theme="2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2" tint="-0.2499465926084170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EFC7FD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7E2FE"/>
      </top>
      <bottom style="thin">
        <color indexed="64"/>
      </bottom>
      <diagonal/>
    </border>
    <border>
      <left/>
      <right style="medium">
        <color theme="5" tint="0.7999511703848384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34">
    <xf numFmtId="0" fontId="0" fillId="0" borderId="0" xfId="0"/>
    <xf numFmtId="0" fontId="5" fillId="0" borderId="0" xfId="0" applyFont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14" fontId="4" fillId="0" borderId="0" xfId="0" applyNumberFormat="1" applyFont="1"/>
    <xf numFmtId="0" fontId="4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0" xfId="0" applyNumberFormat="1"/>
    <xf numFmtId="0" fontId="0" fillId="0" borderId="6" xfId="0" applyBorder="1"/>
    <xf numFmtId="0" fontId="0" fillId="0" borderId="7" xfId="0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165" fontId="0" fillId="0" borderId="0" xfId="0" applyNumberFormat="1"/>
    <xf numFmtId="0" fontId="7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17" fontId="7" fillId="0" borderId="0" xfId="0" quotePrefix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0" fillId="0" borderId="0" xfId="0" applyNumberFormat="1"/>
    <xf numFmtId="164" fontId="4" fillId="0" borderId="0" xfId="0" applyNumberFormat="1" applyFont="1"/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5" fillId="0" borderId="7" xfId="0" applyFont="1" applyBorder="1" applyAlignment="1" applyProtection="1">
      <alignment vertical="center"/>
      <protection locked="0"/>
    </xf>
    <xf numFmtId="166" fontId="16" fillId="4" borderId="17" xfId="0" applyNumberFormat="1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20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167" fontId="18" fillId="0" borderId="0" xfId="0" applyNumberFormat="1" applyFont="1" applyProtection="1">
      <protection hidden="1"/>
    </xf>
    <xf numFmtId="0" fontId="8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right" indent="1"/>
    </xf>
    <xf numFmtId="0" fontId="12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9" fillId="0" borderId="7" xfId="0" applyFont="1" applyBorder="1"/>
    <xf numFmtId="0" fontId="19" fillId="0" borderId="0" xfId="0" applyFont="1" applyAlignment="1">
      <alignment horizontal="center" vertical="top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166" fontId="16" fillId="4" borderId="1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top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23" fillId="0" borderId="0" xfId="0" applyFont="1"/>
    <xf numFmtId="0" fontId="23" fillId="0" borderId="0" xfId="0" applyFont="1" applyAlignment="1">
      <alignment horizontal="center"/>
    </xf>
    <xf numFmtId="168" fontId="24" fillId="0" borderId="0" xfId="0" applyNumberFormat="1" applyFont="1" applyProtection="1">
      <protection locked="0"/>
    </xf>
    <xf numFmtId="0" fontId="0" fillId="0" borderId="28" xfId="0" applyBorder="1"/>
    <xf numFmtId="0" fontId="0" fillId="0" borderId="2" xfId="0" applyBorder="1"/>
    <xf numFmtId="0" fontId="0" fillId="0" borderId="29" xfId="0" applyBorder="1"/>
    <xf numFmtId="0" fontId="2" fillId="0" borderId="30" xfId="1" applyFont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0" borderId="30" xfId="0" applyBorder="1"/>
    <xf numFmtId="14" fontId="4" fillId="0" borderId="31" xfId="0" applyNumberFormat="1" applyFont="1" applyBorder="1"/>
    <xf numFmtId="0" fontId="0" fillId="0" borderId="11" xfId="0" applyBorder="1"/>
    <xf numFmtId="0" fontId="4" fillId="0" borderId="13" xfId="0" applyFont="1" applyBorder="1"/>
    <xf numFmtId="0" fontId="8" fillId="0" borderId="31" xfId="0" applyFont="1" applyBorder="1" applyAlignment="1">
      <alignment wrapText="1"/>
    </xf>
    <xf numFmtId="0" fontId="2" fillId="0" borderId="31" xfId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2" fillId="0" borderId="0" xfId="1" applyFont="1" applyAlignment="1">
      <alignment horizontal="center" vertical="center"/>
    </xf>
    <xf numFmtId="0" fontId="35" fillId="0" borderId="0" xfId="1" applyFont="1" applyAlignment="1">
      <alignment horizontal="center" vertical="center"/>
    </xf>
    <xf numFmtId="0" fontId="32" fillId="0" borderId="0" xfId="1" applyFont="1" applyAlignment="1">
      <alignment vertical="center"/>
    </xf>
    <xf numFmtId="0" fontId="32" fillId="0" borderId="36" xfId="1" applyFont="1" applyBorder="1" applyAlignment="1">
      <alignment horizontal="center" vertical="center"/>
    </xf>
    <xf numFmtId="0" fontId="32" fillId="0" borderId="0" xfId="1" applyFont="1" applyAlignment="1">
      <alignment horizontal="center" vertical="center" wrapText="1"/>
    </xf>
    <xf numFmtId="0" fontId="32" fillId="0" borderId="0" xfId="1" applyFont="1" applyAlignment="1">
      <alignment vertical="center" wrapText="1"/>
    </xf>
    <xf numFmtId="1" fontId="36" fillId="0" borderId="0" xfId="1" applyNumberFormat="1" applyFont="1" applyAlignment="1">
      <alignment horizontal="center" vertical="center"/>
    </xf>
    <xf numFmtId="1" fontId="31" fillId="0" borderId="0" xfId="1" applyNumberFormat="1" applyFont="1" applyAlignment="1">
      <alignment horizontal="center" vertical="center"/>
    </xf>
    <xf numFmtId="1" fontId="32" fillId="0" borderId="0" xfId="1" applyNumberFormat="1" applyFont="1" applyAlignment="1">
      <alignment horizontal="center" vertical="center"/>
    </xf>
    <xf numFmtId="1" fontId="28" fillId="0" borderId="0" xfId="1" applyNumberFormat="1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1" fillId="0" borderId="0" xfId="1" applyFont="1" applyAlignment="1">
      <alignment horizontal="center" vertical="center"/>
    </xf>
    <xf numFmtId="1" fontId="38" fillId="0" borderId="1" xfId="1" applyNumberFormat="1" applyFont="1" applyBorder="1" applyAlignment="1">
      <alignment horizontal="center" vertical="center"/>
    </xf>
    <xf numFmtId="1" fontId="37" fillId="5" borderId="35" xfId="1" applyNumberFormat="1" applyFont="1" applyFill="1" applyBorder="1" applyAlignment="1">
      <alignment horizontal="center" vertical="center"/>
    </xf>
    <xf numFmtId="1" fontId="37" fillId="5" borderId="1" xfId="1" applyNumberFormat="1" applyFont="1" applyFill="1" applyBorder="1" applyAlignment="1">
      <alignment horizontal="center" vertical="center"/>
    </xf>
    <xf numFmtId="1" fontId="38" fillId="5" borderId="1" xfId="1" applyNumberFormat="1" applyFont="1" applyFill="1" applyBorder="1" applyAlignment="1">
      <alignment horizontal="center" vertical="center" wrapText="1"/>
    </xf>
    <xf numFmtId="1" fontId="40" fillId="0" borderId="0" xfId="1" applyNumberFormat="1" applyFont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33" fillId="0" borderId="0" xfId="1" applyFont="1" applyAlignment="1">
      <alignment horizontal="center" vertical="center"/>
    </xf>
    <xf numFmtId="1" fontId="37" fillId="5" borderId="29" xfId="1" applyNumberFormat="1" applyFont="1" applyFill="1" applyBorder="1" applyAlignment="1">
      <alignment horizontal="center" vertical="center"/>
    </xf>
    <xf numFmtId="1" fontId="37" fillId="5" borderId="17" xfId="1" applyNumberFormat="1" applyFont="1" applyFill="1" applyBorder="1" applyAlignment="1">
      <alignment horizontal="center" vertical="center"/>
    </xf>
    <xf numFmtId="1" fontId="38" fillId="5" borderId="17" xfId="1" applyNumberFormat="1" applyFont="1" applyFill="1" applyBorder="1" applyAlignment="1">
      <alignment horizontal="center" vertical="center" wrapText="1"/>
    </xf>
    <xf numFmtId="1" fontId="37" fillId="5" borderId="43" xfId="1" applyNumberFormat="1" applyFont="1" applyFill="1" applyBorder="1" applyAlignment="1">
      <alignment horizontal="center" vertical="center"/>
    </xf>
    <xf numFmtId="1" fontId="37" fillId="5" borderId="42" xfId="1" applyNumberFormat="1" applyFont="1" applyFill="1" applyBorder="1" applyAlignment="1">
      <alignment horizontal="center" vertical="center"/>
    </xf>
    <xf numFmtId="1" fontId="38" fillId="5" borderId="42" xfId="1" applyNumberFormat="1" applyFont="1" applyFill="1" applyBorder="1" applyAlignment="1">
      <alignment horizontal="center" vertical="center" wrapText="1"/>
    </xf>
    <xf numFmtId="0" fontId="45" fillId="5" borderId="41" xfId="1" applyFont="1" applyFill="1" applyBorder="1" applyAlignment="1">
      <alignment horizontal="center" vertical="center"/>
    </xf>
    <xf numFmtId="0" fontId="45" fillId="5" borderId="17" xfId="1" applyFont="1" applyFill="1" applyBorder="1" applyAlignment="1">
      <alignment horizontal="center" vertical="center" wrapText="1"/>
    </xf>
    <xf numFmtId="0" fontId="45" fillId="5" borderId="17" xfId="1" applyFont="1" applyFill="1" applyBorder="1" applyAlignment="1">
      <alignment horizontal="left" vertical="center" wrapText="1" readingOrder="2"/>
    </xf>
    <xf numFmtId="0" fontId="45" fillId="5" borderId="40" xfId="1" applyFont="1" applyFill="1" applyBorder="1" applyAlignment="1">
      <alignment horizontal="center" vertical="center" wrapText="1"/>
    </xf>
    <xf numFmtId="0" fontId="45" fillId="5" borderId="1" xfId="1" applyFont="1" applyFill="1" applyBorder="1" applyAlignment="1">
      <alignment horizontal="center" vertical="center" wrapText="1"/>
    </xf>
    <xf numFmtId="0" fontId="45" fillId="5" borderId="1" xfId="1" applyFont="1" applyFill="1" applyBorder="1" applyAlignment="1">
      <alignment horizontal="left" vertical="center" wrapText="1" readingOrder="2"/>
    </xf>
    <xf numFmtId="0" fontId="45" fillId="5" borderId="39" xfId="1" applyFont="1" applyFill="1" applyBorder="1" applyAlignment="1">
      <alignment horizontal="center" vertical="center" wrapText="1"/>
    </xf>
    <xf numFmtId="0" fontId="46" fillId="5" borderId="39" xfId="1" applyFont="1" applyFill="1" applyBorder="1" applyAlignment="1">
      <alignment horizontal="center" vertical="center" wrapText="1"/>
    </xf>
    <xf numFmtId="0" fontId="45" fillId="5" borderId="42" xfId="1" applyFont="1" applyFill="1" applyBorder="1" applyAlignment="1">
      <alignment horizontal="center" vertical="center" wrapText="1"/>
    </xf>
    <xf numFmtId="0" fontId="45" fillId="5" borderId="42" xfId="1" applyFont="1" applyFill="1" applyBorder="1" applyAlignment="1">
      <alignment horizontal="left" vertical="center" wrapText="1" readingOrder="2"/>
    </xf>
    <xf numFmtId="0" fontId="45" fillId="0" borderId="1" xfId="1" applyFont="1" applyBorder="1" applyAlignment="1">
      <alignment horizontal="center" vertical="center" wrapText="1"/>
    </xf>
    <xf numFmtId="0" fontId="45" fillId="0" borderId="1" xfId="1" applyFont="1" applyBorder="1" applyAlignment="1">
      <alignment horizontal="left" vertical="center" wrapText="1" readingOrder="2"/>
    </xf>
    <xf numFmtId="0" fontId="45" fillId="0" borderId="39" xfId="1" applyFont="1" applyBorder="1" applyAlignment="1">
      <alignment horizontal="center" vertical="center" wrapText="1"/>
    </xf>
    <xf numFmtId="1" fontId="37" fillId="0" borderId="35" xfId="1" applyNumberFormat="1" applyFont="1" applyBorder="1" applyAlignment="1">
      <alignment horizontal="center" vertical="center"/>
    </xf>
    <xf numFmtId="1" fontId="37" fillId="0" borderId="1" xfId="1" applyNumberFormat="1" applyFont="1" applyBorder="1" applyAlignment="1">
      <alignment horizontal="center" vertical="center"/>
    </xf>
    <xf numFmtId="1" fontId="38" fillId="0" borderId="1" xfId="1" applyNumberFormat="1" applyFont="1" applyBorder="1" applyAlignment="1">
      <alignment horizontal="center" vertical="center" wrapText="1"/>
    </xf>
    <xf numFmtId="1" fontId="46" fillId="5" borderId="39" xfId="1" applyNumberFormat="1" applyFont="1" applyFill="1" applyBorder="1" applyAlignment="1">
      <alignment horizontal="center" vertical="center" wrapText="1"/>
    </xf>
    <xf numFmtId="1" fontId="38" fillId="0" borderId="50" xfId="1" applyNumberFormat="1" applyFont="1" applyBorder="1" applyAlignment="1">
      <alignment horizontal="center" vertical="center" wrapText="1"/>
    </xf>
    <xf numFmtId="1" fontId="37" fillId="0" borderId="17" xfId="1" applyNumberFormat="1" applyFont="1" applyBorder="1" applyAlignment="1">
      <alignment horizontal="center" vertical="center"/>
    </xf>
    <xf numFmtId="1" fontId="38" fillId="0" borderId="17" xfId="1" applyNumberFormat="1" applyFont="1" applyBorder="1" applyAlignment="1">
      <alignment horizontal="center" vertical="center" wrapText="1"/>
    </xf>
    <xf numFmtId="1" fontId="47" fillId="0" borderId="1" xfId="1" applyNumberFormat="1" applyFont="1" applyBorder="1" applyAlignment="1">
      <alignment horizontal="center" vertical="center"/>
    </xf>
    <xf numFmtId="1" fontId="26" fillId="0" borderId="1" xfId="1" applyNumberFormat="1" applyFont="1" applyBorder="1" applyAlignment="1">
      <alignment horizontal="center" vertical="center"/>
    </xf>
    <xf numFmtId="1" fontId="37" fillId="0" borderId="42" xfId="1" applyNumberFormat="1" applyFont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 wrapText="1"/>
    </xf>
    <xf numFmtId="1" fontId="48" fillId="0" borderId="1" xfId="1" applyNumberFormat="1" applyFont="1" applyBorder="1" applyAlignment="1">
      <alignment horizontal="center" vertical="center"/>
    </xf>
    <xf numFmtId="1" fontId="51" fillId="0" borderId="45" xfId="1" applyNumberFormat="1" applyFont="1" applyBorder="1" applyAlignment="1">
      <alignment horizontal="center" vertical="center" wrapText="1"/>
    </xf>
    <xf numFmtId="1" fontId="51" fillId="0" borderId="46" xfId="1" applyNumberFormat="1" applyFont="1" applyBorder="1" applyAlignment="1">
      <alignment horizontal="center" vertical="center" wrapText="1"/>
    </xf>
    <xf numFmtId="0" fontId="51" fillId="0" borderId="46" xfId="1" applyFont="1" applyBorder="1" applyAlignment="1">
      <alignment horizontal="center" vertical="center" wrapText="1" readingOrder="2"/>
    </xf>
    <xf numFmtId="1" fontId="26" fillId="0" borderId="17" xfId="1" applyNumberFormat="1" applyFont="1" applyBorder="1" applyAlignment="1">
      <alignment horizontal="center" vertical="center"/>
    </xf>
    <xf numFmtId="1" fontId="53" fillId="0" borderId="46" xfId="1" applyNumberFormat="1" applyFont="1" applyBorder="1" applyAlignment="1">
      <alignment horizontal="center" vertical="center" wrapText="1"/>
    </xf>
    <xf numFmtId="169" fontId="54" fillId="0" borderId="17" xfId="1" applyNumberFormat="1" applyFont="1" applyBorder="1" applyAlignment="1">
      <alignment horizontal="center" vertical="center"/>
    </xf>
    <xf numFmtId="0" fontId="26" fillId="0" borderId="28" xfId="1" applyFont="1" applyBorder="1" applyAlignment="1">
      <alignment horizontal="center" vertical="center"/>
    </xf>
    <xf numFmtId="1" fontId="26" fillId="8" borderId="47" xfId="1" applyNumberFormat="1" applyFont="1" applyFill="1" applyBorder="1" applyAlignment="1">
      <alignment horizontal="center" vertical="center"/>
    </xf>
    <xf numFmtId="1" fontId="43" fillId="0" borderId="48" xfId="1" applyNumberFormat="1" applyFont="1" applyBorder="1" applyAlignment="1">
      <alignment horizontal="center" vertical="center"/>
    </xf>
    <xf numFmtId="169" fontId="54" fillId="0" borderId="1" xfId="1" applyNumberFormat="1" applyFont="1" applyBorder="1" applyAlignment="1">
      <alignment horizontal="center" vertical="center"/>
    </xf>
    <xf numFmtId="0" fontId="26" fillId="0" borderId="37" xfId="1" applyFont="1" applyBorder="1" applyAlignment="1">
      <alignment horizontal="center" vertical="center"/>
    </xf>
    <xf numFmtId="1" fontId="26" fillId="0" borderId="42" xfId="1" applyNumberFormat="1" applyFont="1" applyBorder="1" applyAlignment="1">
      <alignment horizontal="center" vertical="center"/>
    </xf>
    <xf numFmtId="169" fontId="54" fillId="0" borderId="42" xfId="1" applyNumberFormat="1" applyFont="1" applyBorder="1" applyAlignment="1">
      <alignment horizontal="center" vertical="center"/>
    </xf>
    <xf numFmtId="0" fontId="26" fillId="0" borderId="44" xfId="1" applyFont="1" applyBorder="1" applyAlignment="1">
      <alignment horizontal="center" vertical="center"/>
    </xf>
    <xf numFmtId="1" fontId="48" fillId="0" borderId="28" xfId="1" applyNumberFormat="1" applyFont="1" applyBorder="1" applyAlignment="1">
      <alignment horizontal="center" vertical="center"/>
    </xf>
    <xf numFmtId="1" fontId="48" fillId="0" borderId="2" xfId="1" applyNumberFormat="1" applyFont="1" applyBorder="1" applyAlignment="1">
      <alignment horizontal="center" vertical="center"/>
    </xf>
    <xf numFmtId="1" fontId="52" fillId="0" borderId="1" xfId="1" applyNumberFormat="1" applyFont="1" applyBorder="1" applyAlignment="1">
      <alignment horizontal="center" vertical="center" wrapText="1"/>
    </xf>
    <xf numFmtId="1" fontId="55" fillId="0" borderId="51" xfId="1" applyNumberFormat="1" applyFont="1" applyBorder="1" applyAlignment="1">
      <alignment horizontal="center" vertical="center" wrapText="1"/>
    </xf>
    <xf numFmtId="1" fontId="38" fillId="0" borderId="17" xfId="1" applyNumberFormat="1" applyFont="1" applyBorder="1" applyAlignment="1">
      <alignment horizontal="center" vertical="center"/>
    </xf>
    <xf numFmtId="1" fontId="26" fillId="0" borderId="1" xfId="1" applyNumberFormat="1" applyFont="1" applyBorder="1" applyAlignment="1">
      <alignment horizontal="center" vertical="center" wrapText="1"/>
    </xf>
    <xf numFmtId="1" fontId="38" fillId="0" borderId="42" xfId="1" applyNumberFormat="1" applyFont="1" applyBorder="1" applyAlignment="1">
      <alignment horizontal="center" vertical="center"/>
    </xf>
    <xf numFmtId="1" fontId="49" fillId="0" borderId="1" xfId="1" applyNumberFormat="1" applyFont="1" applyBorder="1" applyAlignment="1">
      <alignment horizontal="center" vertical="center" wrapText="1"/>
    </xf>
    <xf numFmtId="1" fontId="56" fillId="0" borderId="46" xfId="1" applyNumberFormat="1" applyFont="1" applyBorder="1" applyAlignment="1">
      <alignment horizontal="center" vertical="center" wrapText="1"/>
    </xf>
    <xf numFmtId="1" fontId="52" fillId="0" borderId="46" xfId="1" applyNumberFormat="1" applyFont="1" applyBorder="1" applyAlignment="1">
      <alignment horizontal="center" vertical="center" wrapText="1"/>
    </xf>
    <xf numFmtId="0" fontId="26" fillId="10" borderId="1" xfId="1" applyFont="1" applyFill="1" applyBorder="1" applyAlignment="1">
      <alignment horizontal="center" vertical="center"/>
    </xf>
    <xf numFmtId="0" fontId="26" fillId="11" borderId="1" xfId="1" applyFont="1" applyFill="1" applyBorder="1" applyAlignment="1">
      <alignment horizontal="center" vertical="center"/>
    </xf>
    <xf numFmtId="1" fontId="38" fillId="10" borderId="1" xfId="1" applyNumberFormat="1" applyFont="1" applyFill="1" applyBorder="1" applyAlignment="1">
      <alignment horizontal="center" vertical="center"/>
    </xf>
    <xf numFmtId="0" fontId="31" fillId="10" borderId="1" xfId="1" applyFont="1" applyFill="1" applyBorder="1" applyAlignment="1">
      <alignment horizontal="center" vertical="center"/>
    </xf>
    <xf numFmtId="0" fontId="41" fillId="10" borderId="1" xfId="1" applyFont="1" applyFill="1" applyBorder="1" applyAlignment="1">
      <alignment horizontal="center" vertical="center"/>
    </xf>
    <xf numFmtId="169" fontId="26" fillId="10" borderId="1" xfId="1" applyNumberFormat="1" applyFont="1" applyFill="1" applyBorder="1" applyAlignment="1">
      <alignment horizontal="center" vertical="center"/>
    </xf>
    <xf numFmtId="169" fontId="26" fillId="11" borderId="1" xfId="1" applyNumberFormat="1" applyFont="1" applyFill="1" applyBorder="1" applyAlignment="1">
      <alignment horizontal="center" vertical="center"/>
    </xf>
    <xf numFmtId="169" fontId="31" fillId="10" borderId="1" xfId="1" applyNumberFormat="1" applyFont="1" applyFill="1" applyBorder="1" applyAlignment="1">
      <alignment horizontal="center" vertical="center"/>
    </xf>
    <xf numFmtId="169" fontId="41" fillId="10" borderId="1" xfId="1" applyNumberFormat="1" applyFont="1" applyFill="1" applyBorder="1" applyAlignment="1">
      <alignment horizontal="center" vertical="center"/>
    </xf>
    <xf numFmtId="0" fontId="57" fillId="0" borderId="46" xfId="1" applyFont="1" applyBorder="1" applyAlignment="1">
      <alignment horizontal="center" vertical="center" wrapText="1" readingOrder="2"/>
    </xf>
    <xf numFmtId="1" fontId="48" fillId="0" borderId="29" xfId="1" applyNumberFormat="1" applyFont="1" applyBorder="1" applyAlignment="1">
      <alignment horizontal="center" vertical="center"/>
    </xf>
    <xf numFmtId="1" fontId="48" fillId="0" borderId="17" xfId="1" applyNumberFormat="1" applyFont="1" applyBorder="1" applyAlignment="1">
      <alignment horizontal="center" vertical="center"/>
    </xf>
    <xf numFmtId="1" fontId="48" fillId="0" borderId="17" xfId="1" applyNumberFormat="1" applyFont="1" applyBorder="1" applyAlignment="1">
      <alignment horizontal="center" vertical="center" wrapText="1"/>
    </xf>
    <xf numFmtId="0" fontId="48" fillId="0" borderId="17" xfId="1" applyFont="1" applyBorder="1" applyAlignment="1">
      <alignment horizontal="center" vertical="center"/>
    </xf>
    <xf numFmtId="1" fontId="48" fillId="6" borderId="38" xfId="1" applyNumberFormat="1" applyFont="1" applyFill="1" applyBorder="1" applyAlignment="1">
      <alignment horizontal="center" vertical="center"/>
    </xf>
    <xf numFmtId="1" fontId="48" fillId="0" borderId="1" xfId="1" applyNumberFormat="1" applyFont="1" applyBorder="1" applyAlignment="1">
      <alignment horizontal="center" vertical="center" wrapText="1"/>
    </xf>
    <xf numFmtId="0" fontId="48" fillId="0" borderId="1" xfId="1" applyFont="1" applyBorder="1" applyAlignment="1">
      <alignment horizontal="center" vertical="center"/>
    </xf>
    <xf numFmtId="1" fontId="48" fillId="0" borderId="49" xfId="1" applyNumberFormat="1" applyFont="1" applyBorder="1" applyAlignment="1">
      <alignment horizontal="center" vertical="center"/>
    </xf>
    <xf numFmtId="1" fontId="48" fillId="0" borderId="37" xfId="1" applyNumberFormat="1" applyFont="1" applyBorder="1" applyAlignment="1">
      <alignment horizontal="center" vertical="center"/>
    </xf>
    <xf numFmtId="1" fontId="48" fillId="6" borderId="17" xfId="1" applyNumberFormat="1" applyFont="1" applyFill="1" applyBorder="1" applyAlignment="1">
      <alignment horizontal="center" vertical="center"/>
    </xf>
    <xf numFmtId="1" fontId="48" fillId="0" borderId="35" xfId="1" applyNumberFormat="1" applyFont="1" applyBorder="1" applyAlignment="1">
      <alignment horizontal="center" vertical="center"/>
    </xf>
    <xf numFmtId="1" fontId="58" fillId="0" borderId="1" xfId="1" applyNumberFormat="1" applyFont="1" applyBorder="1" applyAlignment="1">
      <alignment horizontal="center" vertical="center" wrapText="1"/>
    </xf>
    <xf numFmtId="1" fontId="59" fillId="0" borderId="46" xfId="1" applyNumberFormat="1" applyFont="1" applyBorder="1" applyAlignment="1">
      <alignment horizontal="center" vertical="center" wrapText="1"/>
    </xf>
    <xf numFmtId="0" fontId="59" fillId="0" borderId="46" xfId="1" applyFont="1" applyBorder="1" applyAlignment="1">
      <alignment horizontal="center" vertical="center" wrapText="1" readingOrder="2"/>
    </xf>
    <xf numFmtId="1" fontId="48" fillId="3" borderId="29" xfId="1" applyNumberFormat="1" applyFont="1" applyFill="1" applyBorder="1" applyAlignment="1">
      <alignment horizontal="center" vertical="center"/>
    </xf>
    <xf numFmtId="1" fontId="60" fillId="0" borderId="17" xfId="1" applyNumberFormat="1" applyFont="1" applyBorder="1" applyAlignment="1">
      <alignment horizontal="center" vertical="center"/>
    </xf>
    <xf numFmtId="1" fontId="60" fillId="0" borderId="49" xfId="1" applyNumberFormat="1" applyFont="1" applyBorder="1" applyAlignment="1">
      <alignment horizontal="center" vertical="center"/>
    </xf>
    <xf numFmtId="1" fontId="61" fillId="0" borderId="1" xfId="1" applyNumberFormat="1" applyFont="1" applyBorder="1" applyAlignment="1">
      <alignment horizontal="center" vertical="center" wrapText="1"/>
    </xf>
    <xf numFmtId="1" fontId="61" fillId="2" borderId="1" xfId="1" applyNumberFormat="1" applyFont="1" applyFill="1" applyBorder="1" applyAlignment="1">
      <alignment horizontal="center" vertical="center" wrapText="1"/>
    </xf>
    <xf numFmtId="1" fontId="48" fillId="2" borderId="1" xfId="1" applyNumberFormat="1" applyFont="1" applyFill="1" applyBorder="1" applyAlignment="1">
      <alignment horizontal="center" vertical="center" wrapText="1"/>
    </xf>
    <xf numFmtId="1" fontId="48" fillId="2" borderId="1" xfId="1" applyNumberFormat="1" applyFont="1" applyFill="1" applyBorder="1" applyAlignment="1">
      <alignment horizontal="center" vertical="center"/>
    </xf>
    <xf numFmtId="1" fontId="48" fillId="2" borderId="17" xfId="1" applyNumberFormat="1" applyFont="1" applyFill="1" applyBorder="1" applyAlignment="1">
      <alignment horizontal="center" vertical="center" wrapText="1"/>
    </xf>
    <xf numFmtId="1" fontId="62" fillId="0" borderId="1" xfId="1" applyNumberFormat="1" applyFont="1" applyBorder="1" applyAlignment="1">
      <alignment horizontal="center" vertical="center"/>
    </xf>
    <xf numFmtId="0" fontId="42" fillId="10" borderId="1" xfId="1" applyFont="1" applyFill="1" applyBorder="1" applyAlignment="1">
      <alignment horizontal="center" vertical="center"/>
    </xf>
    <xf numFmtId="0" fontId="44" fillId="7" borderId="52" xfId="1" applyFont="1" applyFill="1" applyBorder="1" applyAlignment="1">
      <alignment horizontal="center" vertical="center" wrapText="1"/>
    </xf>
    <xf numFmtId="0" fontId="44" fillId="7" borderId="17" xfId="1" applyFont="1" applyFill="1" applyBorder="1" applyAlignment="1">
      <alignment horizontal="center" vertical="center" wrapText="1"/>
    </xf>
    <xf numFmtId="0" fontId="50" fillId="7" borderId="52" xfId="1" applyFont="1" applyFill="1" applyBorder="1" applyAlignment="1">
      <alignment horizontal="center" vertical="center" wrapText="1"/>
    </xf>
    <xf numFmtId="0" fontId="50" fillId="7" borderId="17" xfId="1" applyFont="1" applyFill="1" applyBorder="1" applyAlignment="1">
      <alignment horizontal="center" vertical="center" wrapText="1"/>
    </xf>
    <xf numFmtId="0" fontId="43" fillId="7" borderId="52" xfId="1" applyFont="1" applyFill="1" applyBorder="1" applyAlignment="1">
      <alignment horizontal="center" vertical="center" wrapText="1"/>
    </xf>
    <xf numFmtId="0" fontId="43" fillId="7" borderId="17" xfId="1" applyFont="1" applyFill="1" applyBorder="1" applyAlignment="1">
      <alignment horizontal="center" vertical="center" wrapText="1"/>
    </xf>
    <xf numFmtId="0" fontId="42" fillId="10" borderId="1" xfId="0" applyFont="1" applyFill="1" applyBorder="1" applyAlignment="1">
      <alignment horizontal="center" vertical="center" wrapText="1"/>
    </xf>
    <xf numFmtId="0" fontId="31" fillId="10" borderId="1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readingOrder="2"/>
    </xf>
    <xf numFmtId="0" fontId="0" fillId="0" borderId="0" xfId="0"/>
    <xf numFmtId="0" fontId="8" fillId="0" borderId="0" xfId="0" applyFont="1" applyAlignment="1">
      <alignment horizontal="center" wrapText="1"/>
    </xf>
    <xf numFmtId="1" fontId="10" fillId="0" borderId="32" xfId="0" applyNumberFormat="1" applyFont="1" applyBorder="1" applyAlignment="1" applyProtection="1">
      <alignment horizontal="center"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26" fillId="0" borderId="32" xfId="0" applyFont="1" applyBorder="1" applyAlignment="1" applyProtection="1">
      <alignment horizontal="center" vertical="center"/>
      <protection locked="0"/>
    </xf>
    <xf numFmtId="0" fontId="11" fillId="0" borderId="32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17" fontId="13" fillId="0" borderId="32" xfId="0" applyNumberFormat="1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2" fillId="0" borderId="30" xfId="0" applyFont="1" applyBorder="1" applyAlignment="1">
      <alignment horizontal="center" vertical="center"/>
    </xf>
    <xf numFmtId="0" fontId="0" fillId="0" borderId="30" xfId="0" applyBorder="1"/>
    <xf numFmtId="0" fontId="0" fillId="3" borderId="26" xfId="0" applyFill="1" applyBorder="1" applyAlignment="1">
      <alignment horizontal="center" vertical="center"/>
    </xf>
    <xf numFmtId="0" fontId="0" fillId="0" borderId="16" xfId="0" applyBorder="1"/>
    <xf numFmtId="0" fontId="0" fillId="0" borderId="21" xfId="0" applyBorder="1" applyAlignment="1">
      <alignment horizontal="center" vertical="center" wrapText="1"/>
    </xf>
    <xf numFmtId="0" fontId="0" fillId="0" borderId="22" xfId="0" applyBorder="1"/>
    <xf numFmtId="165" fontId="18" fillId="0" borderId="32" xfId="0" applyNumberFormat="1" applyFont="1" applyBorder="1" applyAlignment="1" applyProtection="1">
      <alignment horizontal="center" vertical="center"/>
      <protection hidden="1"/>
    </xf>
    <xf numFmtId="0" fontId="0" fillId="0" borderId="23" xfId="0" applyBorder="1" applyProtection="1">
      <protection hidden="1"/>
    </xf>
    <xf numFmtId="0" fontId="12" fillId="0" borderId="0" xfId="0" applyFont="1" applyAlignment="1">
      <alignment horizontal="center" vertical="top"/>
    </xf>
    <xf numFmtId="164" fontId="0" fillId="0" borderId="0" xfId="0" applyNumberFormat="1"/>
    <xf numFmtId="0" fontId="9" fillId="0" borderId="0" xfId="0" applyFont="1" applyAlignment="1">
      <alignment horizontal="center" vertical="top"/>
    </xf>
    <xf numFmtId="0" fontId="19" fillId="0" borderId="0" xfId="0" applyFont="1" applyAlignment="1">
      <alignment horizontal="center" vertical="top"/>
    </xf>
    <xf numFmtId="3" fontId="18" fillId="0" borderId="32" xfId="0" applyNumberFormat="1" applyFont="1" applyBorder="1" applyAlignment="1" applyProtection="1">
      <alignment horizontal="center" vertical="center"/>
      <protection hidden="1"/>
    </xf>
    <xf numFmtId="0" fontId="20" fillId="0" borderId="26" xfId="0" applyFont="1" applyBorder="1" applyAlignment="1">
      <alignment horizontal="center" vertical="center" wrapText="1"/>
    </xf>
    <xf numFmtId="0" fontId="0" fillId="0" borderId="33" xfId="0" applyBorder="1"/>
    <xf numFmtId="0" fontId="0" fillId="0" borderId="7" xfId="0" applyBorder="1"/>
    <xf numFmtId="0" fontId="0" fillId="0" borderId="34" xfId="0" applyBorder="1"/>
    <xf numFmtId="0" fontId="0" fillId="0" borderId="2" xfId="0" applyBorder="1"/>
    <xf numFmtId="0" fontId="0" fillId="0" borderId="29" xfId="0" applyBorder="1"/>
    <xf numFmtId="0" fontId="7" fillId="0" borderId="1" xfId="0" applyFont="1" applyBorder="1" applyAlignment="1">
      <alignment horizontal="center" vertical="center"/>
    </xf>
    <xf numFmtId="0" fontId="0" fillId="0" borderId="27" xfId="0" applyBorder="1"/>
    <xf numFmtId="0" fontId="0" fillId="0" borderId="35" xfId="0" applyBorder="1"/>
    <xf numFmtId="3" fontId="21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23" fillId="0" borderId="2" xfId="0" applyFont="1" applyBorder="1" applyProtection="1">
      <protection locked="0"/>
    </xf>
    <xf numFmtId="0" fontId="0" fillId="0" borderId="2" xfId="0" applyBorder="1" applyProtection="1">
      <protection locked="0"/>
    </xf>
    <xf numFmtId="168" fontId="24" fillId="0" borderId="2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center" vertical="center" wrapText="1"/>
    </xf>
    <xf numFmtId="0" fontId="23" fillId="0" borderId="27" xfId="0" applyFont="1" applyBorder="1" applyAlignment="1" applyProtection="1">
      <alignment horizontal="left"/>
      <protection locked="0"/>
    </xf>
    <xf numFmtId="0" fontId="0" fillId="0" borderId="27" xfId="0" applyBorder="1" applyProtection="1">
      <protection locked="0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/>
    </xf>
    <xf numFmtId="168" fontId="25" fillId="0" borderId="27" xfId="0" applyNumberFormat="1" applyFont="1" applyBorder="1" applyAlignment="1" applyProtection="1">
      <alignment horizontal="center"/>
      <protection locked="0"/>
    </xf>
    <xf numFmtId="1" fontId="48" fillId="0" borderId="29" xfId="1" applyNumberFormat="1" applyFont="1" applyBorder="1" applyAlignment="1">
      <alignment horizontal="center" vertical="center" wrapText="1"/>
    </xf>
    <xf numFmtId="1" fontId="48" fillId="0" borderId="35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285"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ill>
        <patternFill>
          <bgColor theme="7"/>
        </patternFill>
      </fill>
    </dxf>
    <dxf>
      <numFmt numFmtId="170" formatCode="\ 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FFCC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CC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64F22"/>
      <color rgb="FF0000CC"/>
      <color rgb="FFFFFF9F"/>
      <color rgb="FFFFFFCC"/>
      <color rgb="FFF7E2FE"/>
      <color rgb="FFFCF8FE"/>
      <color rgb="FFFFFFFF"/>
      <color rgb="FFFBF4FE"/>
      <color rgb="FFF2F8EE"/>
      <color rgb="FFFDF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eetMetadata" Target="metadata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143185</xdr:rowOff>
    </xdr:from>
    <xdr:to>
      <xdr:col>21</xdr:col>
      <xdr:colOff>327690</xdr:colOff>
      <xdr:row>35</xdr:row>
      <xdr:rowOff>394606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AE29ACB0-F57A-F33B-C4D2-31DF32C23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0"/>
          <a:ext cx="3681850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111188</xdr:colOff>
      <xdr:row>2</xdr:row>
      <xdr:rowOff>508680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D442E3-8A2C-C124-D667-66970059F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72457" y="71418"/>
          <a:ext cx="1526331" cy="872691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250371</xdr:colOff>
      <xdr:row>2</xdr:row>
      <xdr:rowOff>472954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AC4FBB-D7E7-A167-900B-8F997BA4B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43742" cy="9083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B5D6A8E-B5CB-4A51-A2DC-07052F9B0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510858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AD39AAC5-5437-49A9-B2A9-C9EFFA581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1D1E87FC-4783-48D4-805E-7FD087E87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848BE4B-012E-24AF-EF1F-C78DBB013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502149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C39B9EE2-072C-4247-A5DC-FF35C347F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5071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485E9702-0EEC-409C-8649-308A34515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A8D7537-91D5-4B6D-8972-AA588C70D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513035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E60FE4E0-4D7C-4C45-86D1-84A76CF98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5957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F13A17E8-26CB-46AE-B4EA-117AF2287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7E7266-03CC-2F42-1499-FA1901C56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516300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9A45402-DCC2-46C2-A6FC-7037C43D6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9222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4ACC5B96-8193-4E6A-901F-AA1B4B5C3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9B927A3-4806-CFE1-216C-91AC3A347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513035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EBF37D6A-260A-46C4-A636-3D551CF73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5957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A71511C7-E456-4264-9A92-5AB6AEFE4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779539A-564E-CA4C-C748-E70A28BD6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508681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58414291-7141-479A-99B8-F62032B30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1603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FC9BD776-5285-4545-B78B-A0B7373DB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D558378-A51C-C8DF-EE6D-F8341725D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5A5E06E8-AC9F-46FB-96B9-378662518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E8BF0126-1C5E-4BDF-B580-D06A1D53D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C450480-40B3-5860-6D86-9838FF837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505414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AF699F23-DEE4-4C3D-B44E-1F2A78F9F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833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0B9A0294-41B9-415A-A78F-2CD312913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BBD9415-9692-132B-A688-23620CA90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E636B5F9-490A-4BD8-98B6-F17EFD606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1638A9D7-ED2C-47DE-9AC4-5DD611FAD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2F2DEEC-DE08-956B-FE9D-E77000533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502149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934E25BE-516C-4E39-8489-719ED3F4A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65071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D5C9FBF0-AC4C-479A-B93C-C7F2DC920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B11D10C-65D4-F64E-53FE-E3B622461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506504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35C54A40-9B4E-43B6-AD33-B7ACB7BC5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2C19C730-B309-48F8-8E31-04F60AA9F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7B8C977-6B46-A726-E952-652818A63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2ED2A4B7-7BB4-4076-87BD-9DADA25AB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4A5889B7-07D7-415A-AA0E-6FDAFD87F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D56F10E-6D6C-E5DD-E6F2-63F5FE0BA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506504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28FB997B-4E5C-4EEF-B058-7A4FD3FAC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BD43AAEB-C3D2-4D4E-BC6B-6BAABDFFD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ED3EC95-0F41-4AB6-6C1D-45C9981B5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506504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76683B8F-B885-4BB6-84C8-4693A468E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8C6D61E5-85F4-461C-9595-0346C89FE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CB9D3A8-B659-E291-D8D0-8B0D737F4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506504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338FE2B6-1917-429A-8DDE-F982FA315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A26989FE-1921-4D8E-B2A9-4336A7A91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143185</xdr:rowOff>
    </xdr:from>
    <xdr:to>
      <xdr:col>21</xdr:col>
      <xdr:colOff>315189</xdr:colOff>
      <xdr:row>35</xdr:row>
      <xdr:rowOff>394606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34BA1C8-9C11-0CEB-FAB2-1C90D97C1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0"/>
          <a:ext cx="3669349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506504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3B8A3B90-C23F-45B9-9F70-5DBBED22C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A46D25FB-FCE6-457C-90A0-7CEAC3041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5B0B92-8EEA-A928-F44C-234D59A2E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C640E95C-3FB3-42B6-9183-3E0E85DAE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9856BD6A-B878-4F81-BDED-9FCCA769A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4649BCE-BA65-1899-6CB6-5A2868E4B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504326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488F8C82-2E47-41B7-9365-B23FDA2EB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67248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6FA7D445-0118-4594-99B5-C1EE6195A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C747674-CB82-9921-078D-3B6F9D39E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B0628E1F-1730-4900-8846-3960BBE1C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A7E85295-FA6F-4089-9A4C-238A1D781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4BDB0E7-A1C9-D88C-05F3-3C12258A0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8F2BC15F-6A05-4606-A26F-B0BE5EB1D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462272B3-097E-4883-9E6B-9F2894F0F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077DC0B-E609-3AC1-F1A8-50F704286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502149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E3B55D58-850C-42CF-94A0-EAE991621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5071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015AAC73-9713-4BC0-B12B-A87728CAB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C9DC183-5EC2-3D27-D290-1E9E77CEA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13A7A71A-784B-4251-82D0-AC34DEB10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B23B209B-462B-496E-A443-28595685D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65D50D-BA12-52FD-1283-F6C2E0F51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502149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F6D2A654-B3AB-41E0-AA10-989AABE3D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5071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5B6CD801-5D08-4BD0-BBA3-E10B393F4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64FDA72-169F-BF65-B9AA-CF711F967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506504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2C2D722D-674A-4CEE-9E04-A85380BC5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874A4FAE-5B92-4EC2-8969-F08A73B82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EAC5D5B-4BEA-7C34-B564-966E76B0E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508681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5BED2E9A-2ED4-4841-9625-0949172D7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1603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18C5279E-EBB0-4515-96BB-4DAE37A9E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136AA6F-A7B5-E0D4-7CAA-9E2D85637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510858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5148205C-9591-473B-B9E9-C0DF48102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B26EE564-3940-4E3B-9260-969E6DD00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F54854-BA87-D91B-7B5D-2E06F60B7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502149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208FE69E-2AFF-46C8-85AD-FA3E9472E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5071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4CF33EC7-C984-4AF3-B7F6-6553D7F0A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945BD2-4997-35F4-A6BC-3682669A5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506504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7B216E19-CDBA-4790-BE34-5B775DF31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89CF1D1A-796C-488B-AC05-3FFE95F15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081809-737C-2E0F-BC88-ED23722B5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504326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95BD6004-1F08-4022-95DC-BE52555FA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67248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16C307A3-C925-4F86-9C89-46705B456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643718E-EBE5-436C-B2BE-1F2C0D00A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506504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EAC5A08D-C0DF-4E20-8748-EAA2C5C5E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8994ACFC-064A-4040-B1BE-CA104128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6425EA8-847E-5123-CD89-BEFEF232D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508681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D69DD22-66DD-4BF5-9AE7-B4F1619A4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1603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D23B5021-E2F4-44DC-B4B7-5ED9B4384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F9D5F2-8C7D-9B7D-AF77-A82CEFE85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505414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8EA9D0A3-36FF-45CE-BAA4-58C72C567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833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B77DCE19-34B6-46F4-87FA-E48A615F9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F876488-623A-DE1D-0841-8934CCB57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505414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EAC4C6D-C722-437D-9466-CCE928A88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833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EC431CE1-B561-4A0B-82D3-C96EE371C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F2C653B-4657-6295-0878-C659DD68D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510858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6E34E64A-3F89-4F99-9C49-0868ACC10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99B7FFB2-3709-4CAF-9F6A-96FE86594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643C0D5-1431-AB02-1122-521D0D47B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AD57D0A-D1E2-4FB1-B589-8A87F6660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14B9076E-DB6B-46CE-ADFE-51B9AE925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2B6EDB-705A-F26B-B35A-0E95C0EE3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508681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2AF421E-9A76-44B7-B8F4-926A045F6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1603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522A6FB5-4C5F-4779-A9F8-28460E20D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77AE707-569F-DA98-7DA5-EF470B4E3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506504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F1FBC846-502C-436D-9D69-90B76EAEE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209F09CF-4AED-4F4F-B93F-7E8C45D63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F5CDE1B-756A-FE9C-623A-F590DFD68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506504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9D9299D6-7B98-480F-B7EE-EEC84FC89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7F81CD81-AB9D-4CD3-A331-7B963D6DF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FFD6340-5A48-88FB-1393-EA7424883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AEFC7178-AC7D-420E-A739-78824D52A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E113D5BC-BF6E-4BE7-9A32-9B90F9E95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F7EB88B-E69F-2BC5-03AB-12435F566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7105A564-5B6C-4D98-820E-E899109B4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A43064F8-079D-4A38-9197-07A839E30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62BAE25-48AC-0489-2B3E-D67D08494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9EE29A3-1C0B-4AE7-B31A-BB976A010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9A2B6B41-645A-4E64-AC48-0E9679EEE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538D79-75DF-0CCA-468D-6F566590B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11C5DA8-8764-4578-A9EC-C7DCE6DB2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718F8F7A-4757-4DE4-96F2-45E646DA6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0A65294-2C04-867D-3CB1-5B1B1E086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502149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42B4FC58-818C-42CA-AC3B-B34D38F16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5071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6EB404D5-B7A5-414A-8D42-CBBCF3E55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FE2DB45-C465-396C-4639-179AD62E4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501D3304-5C77-431E-93F2-5BF1899A7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DE6F0665-F628-48F3-B3B2-140C20F1D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212145-EDEA-F878-2684-65ED332BC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507592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CAE8ACA-AFC6-49C8-8C37-A1F783E6B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0514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EFB89B3A-F285-4288-B3B1-08833811E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E19795-497B-796B-A8E3-56B0CD5AF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506504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AE28154F-EBEE-42F3-A291-392CE7F61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942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EB54F9FB-1569-4DA6-A110-5B4C257FF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E366E01-E358-8219-0E9F-BA258ACE4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505414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6ECF79D5-9724-4DAA-8925-222E234FE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833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A3D80B4-3C96-4F37-A691-836DC6AE5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3A178F4-D8EB-B7A0-49F6-FA39B2F85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508681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5C72CEBE-9AB7-4357-B81E-7B179D2D5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71603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69676DD1-ED8D-4D76-B1D3-1182FCD9C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5C8E5C7-9BBF-1D6D-F35A-2D82F80C0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510858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AFC84BD-9E8B-4E99-8A9E-0C2B2DDAE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73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20467438-B5EE-4D40-B885-43FB86232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64386F-88D5-89CA-930E-DA118DE18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112277</xdr:colOff>
      <xdr:row>2</xdr:row>
      <xdr:rowOff>516300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845FA2D-E9F8-4547-B244-E3B5A57F0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6" cy="879222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E4DB5147-57AA-4870-8E09-C2AFEBBFA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417740</xdr:colOff>
      <xdr:row>31</xdr:row>
      <xdr:rowOff>143186</xdr:rowOff>
    </xdr:from>
    <xdr:to>
      <xdr:col>21</xdr:col>
      <xdr:colOff>319046</xdr:colOff>
      <xdr:row>35</xdr:row>
      <xdr:rowOff>394607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03116CF-10C8-8394-B9E1-39A819BFF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8629961"/>
          <a:ext cx="3673206" cy="2318346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0</xdr:row>
      <xdr:rowOff>71418</xdr:rowOff>
    </xdr:from>
    <xdr:to>
      <xdr:col>34</xdr:col>
      <xdr:colOff>112276</xdr:colOff>
      <xdr:row>2</xdr:row>
      <xdr:rowOff>505414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6D10397-E367-452A-BA68-954600A49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6331" y="71418"/>
          <a:ext cx="1523065" cy="868336"/>
        </a:xfrm>
        <a:prstGeom prst="rect">
          <a:avLst/>
        </a:prstGeom>
      </xdr:spPr>
    </xdr:pic>
    <xdr:clientData/>
  </xdr:twoCellAnchor>
  <xdr:twoCellAnchor editAs="oneCell">
    <xdr:from>
      <xdr:col>1</xdr:col>
      <xdr:colOff>195943</xdr:colOff>
      <xdr:row>0</xdr:row>
      <xdr:rowOff>0</xdr:rowOff>
    </xdr:from>
    <xdr:to>
      <xdr:col>3</xdr:col>
      <xdr:colOff>242751</xdr:colOff>
      <xdr:row>2</xdr:row>
      <xdr:rowOff>468600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9427371D-2150-41F3-853C-BE17216EC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43" y="0"/>
          <a:ext cx="1639388" cy="902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C99FF"/>
  </sheetPr>
  <dimension ref="A1:HN1048284"/>
  <sheetViews>
    <sheetView showGridLines="0" tabSelected="1" zoomScale="70" zoomScaleNormal="70" zoomScaleSheetLayoutView="80" workbookViewId="0">
      <pane xSplit="23" ySplit="2" topLeftCell="AG3" activePane="bottomRight" state="frozen"/>
      <selection pane="topRight" activeCell="X1" sqref="X1"/>
      <selection pane="bottomLeft" activeCell="A3" sqref="A3"/>
      <selection pane="bottomRight" activeCell="AP1" sqref="AP1:AP1048576"/>
    </sheetView>
  </sheetViews>
  <sheetFormatPr defaultColWidth="6.6640625" defaultRowHeight="21.6" outlineLevelCol="1"/>
  <cols>
    <col min="1" max="1" width="5.5546875" style="61" customWidth="1"/>
    <col min="2" max="2" width="16.88671875" style="61" customWidth="1"/>
    <col min="3" max="3" width="42.5546875" style="63" customWidth="1"/>
    <col min="4" max="4" width="24.5546875" style="61" customWidth="1"/>
    <col min="5" max="5" width="12.6640625" style="61" customWidth="1"/>
    <col min="6" max="6" width="9.88671875" style="61" hidden="1" customWidth="1" outlineLevel="1"/>
    <col min="7" max="17" width="10.5546875" style="61" hidden="1" customWidth="1" outlineLevel="1"/>
    <col min="18" max="21" width="9.88671875" style="61" hidden="1" customWidth="1" outlineLevel="1"/>
    <col min="22" max="23" width="9.88671875" style="61" hidden="1" customWidth="1" outlineLevel="1" collapsed="1"/>
    <col min="24" max="24" width="9.88671875" style="61" customWidth="1" outlineLevel="1"/>
    <col min="25" max="25" width="8.88671875" style="61" customWidth="1" outlineLevel="1"/>
    <col min="26" max="26" width="9.44140625" style="71" customWidth="1" outlineLevel="1"/>
    <col min="27" max="27" width="9.44140625" style="61" customWidth="1" outlineLevel="1"/>
    <col min="28" max="28" width="8.88671875" style="61" customWidth="1" outlineLevel="1"/>
    <col min="29" max="34" width="9.44140625" style="61" customWidth="1" outlineLevel="1"/>
    <col min="35" max="36" width="9.109375" style="61" customWidth="1" outlineLevel="1"/>
    <col min="37" max="37" width="4.33203125" style="61" customWidth="1" outlineLevel="1"/>
    <col min="38" max="42" width="9.44140625" style="61" customWidth="1" outlineLevel="1"/>
    <col min="43" max="43" width="8" style="61" customWidth="1" outlineLevel="1"/>
    <col min="44" max="57" width="9.44140625" style="61" customWidth="1" outlineLevel="1"/>
    <col min="58" max="67" width="8.44140625" style="61" hidden="1" customWidth="1" outlineLevel="1"/>
    <col min="68" max="69" width="8.6640625" style="61" hidden="1" customWidth="1" outlineLevel="1"/>
    <col min="70" max="70" width="17.33203125" style="61" customWidth="1"/>
    <col min="71" max="71" width="13.88671875" style="72" customWidth="1" collapsed="1"/>
    <col min="72" max="72" width="45.33203125" style="78" customWidth="1"/>
    <col min="73" max="73" width="9.33203125" style="61" customWidth="1"/>
    <col min="74" max="16384" width="6.6640625" style="61"/>
  </cols>
  <sheetData>
    <row r="1" spans="1:222" s="62" customFormat="1" ht="23.25" customHeight="1">
      <c r="A1" s="171" t="s">
        <v>70</v>
      </c>
      <c r="B1" s="171" t="s">
        <v>0</v>
      </c>
      <c r="C1" s="178" t="s">
        <v>71</v>
      </c>
      <c r="D1" s="171" t="s">
        <v>1</v>
      </c>
      <c r="E1" s="179" t="s">
        <v>92</v>
      </c>
      <c r="F1" s="138" t="str">
        <f t="shared" ref="F1:AJ1" si="0">TEXT(F2,"DDD")</f>
        <v>Sat</v>
      </c>
      <c r="G1" s="138" t="str">
        <f t="shared" si="0"/>
        <v>Sun</v>
      </c>
      <c r="H1" s="138" t="str">
        <f t="shared" si="0"/>
        <v>Mon</v>
      </c>
      <c r="I1" s="138" t="str">
        <f t="shared" si="0"/>
        <v>Tue</v>
      </c>
      <c r="J1" s="138" t="str">
        <f t="shared" si="0"/>
        <v>Wed</v>
      </c>
      <c r="K1" s="138" t="str">
        <f t="shared" si="0"/>
        <v>Thu</v>
      </c>
      <c r="L1" s="138" t="str">
        <f t="shared" si="0"/>
        <v>Fri</v>
      </c>
      <c r="M1" s="138" t="str">
        <f t="shared" si="0"/>
        <v>Sat</v>
      </c>
      <c r="N1" s="138" t="str">
        <f t="shared" si="0"/>
        <v>Sun</v>
      </c>
      <c r="O1" s="138" t="str">
        <f t="shared" si="0"/>
        <v>Mon</v>
      </c>
      <c r="P1" s="138" t="str">
        <f t="shared" si="0"/>
        <v>Tue</v>
      </c>
      <c r="Q1" s="138" t="str">
        <f t="shared" si="0"/>
        <v>Wed</v>
      </c>
      <c r="R1" s="138" t="str">
        <f t="shared" si="0"/>
        <v>Thu</v>
      </c>
      <c r="S1" s="138" t="str">
        <f t="shared" si="0"/>
        <v>Fri</v>
      </c>
      <c r="T1" s="139" t="str">
        <f t="shared" si="0"/>
        <v>Sat</v>
      </c>
      <c r="U1" s="138" t="str">
        <f t="shared" si="0"/>
        <v>Sun</v>
      </c>
      <c r="V1" s="138" t="str">
        <f t="shared" si="0"/>
        <v>Mon</v>
      </c>
      <c r="W1" s="138" t="str">
        <f t="shared" si="0"/>
        <v>Tue</v>
      </c>
      <c r="X1" s="138" t="str">
        <f t="shared" si="0"/>
        <v>Wed</v>
      </c>
      <c r="Y1" s="138" t="str">
        <f t="shared" si="0"/>
        <v>Thu</v>
      </c>
      <c r="Z1" s="138" t="str">
        <f t="shared" si="0"/>
        <v>Fri</v>
      </c>
      <c r="AA1" s="139" t="str">
        <f t="shared" si="0"/>
        <v>Sat</v>
      </c>
      <c r="AB1" s="138" t="str">
        <f t="shared" si="0"/>
        <v>Sun</v>
      </c>
      <c r="AC1" s="138" t="str">
        <f t="shared" si="0"/>
        <v>Mon</v>
      </c>
      <c r="AD1" s="138" t="str">
        <f t="shared" si="0"/>
        <v>Tue</v>
      </c>
      <c r="AE1" s="138" t="str">
        <f t="shared" si="0"/>
        <v>Wed</v>
      </c>
      <c r="AF1" s="138" t="str">
        <f t="shared" si="0"/>
        <v>Thu</v>
      </c>
      <c r="AG1" s="138" t="str">
        <f t="shared" si="0"/>
        <v>Fri</v>
      </c>
      <c r="AH1" s="138" t="str">
        <f t="shared" si="0"/>
        <v>Sat</v>
      </c>
      <c r="AI1" s="138" t="str">
        <f t="shared" si="0"/>
        <v>Sun</v>
      </c>
      <c r="AJ1" s="138" t="str">
        <f t="shared" si="0"/>
        <v>Mon</v>
      </c>
      <c r="AK1" s="140"/>
      <c r="AL1" s="138" t="str">
        <f t="shared" ref="AL1:BP1" si="1">TEXT(AL2,"DDD")</f>
        <v>Tue</v>
      </c>
      <c r="AM1" s="138" t="str">
        <f t="shared" si="1"/>
        <v>Wed</v>
      </c>
      <c r="AN1" s="138" t="str">
        <f t="shared" si="1"/>
        <v>Thu</v>
      </c>
      <c r="AO1" s="138" t="str">
        <f t="shared" si="1"/>
        <v>Fri</v>
      </c>
      <c r="AP1" s="139" t="str">
        <f t="shared" si="1"/>
        <v>Sat</v>
      </c>
      <c r="AQ1" s="138" t="str">
        <f t="shared" si="1"/>
        <v>Sun</v>
      </c>
      <c r="AR1" s="138" t="str">
        <f t="shared" si="1"/>
        <v>Mon</v>
      </c>
      <c r="AS1" s="138" t="str">
        <f t="shared" si="1"/>
        <v>Tue</v>
      </c>
      <c r="AT1" s="138" t="str">
        <f t="shared" si="1"/>
        <v>Wed</v>
      </c>
      <c r="AU1" s="138" t="str">
        <f t="shared" si="1"/>
        <v>Thu</v>
      </c>
      <c r="AV1" s="138" t="str">
        <f t="shared" si="1"/>
        <v>Fri</v>
      </c>
      <c r="AW1" s="139" t="str">
        <f t="shared" si="1"/>
        <v>Sat</v>
      </c>
      <c r="AX1" s="138" t="str">
        <f t="shared" si="1"/>
        <v>Sun</v>
      </c>
      <c r="AY1" s="138" t="str">
        <f t="shared" si="1"/>
        <v>Mon</v>
      </c>
      <c r="AZ1" s="138" t="str">
        <f t="shared" si="1"/>
        <v>Tue</v>
      </c>
      <c r="BA1" s="138" t="str">
        <f t="shared" si="1"/>
        <v>Wed</v>
      </c>
      <c r="BB1" s="138" t="str">
        <f t="shared" si="1"/>
        <v>Thu</v>
      </c>
      <c r="BC1" s="138" t="str">
        <f t="shared" si="1"/>
        <v>Fri</v>
      </c>
      <c r="BD1" s="139" t="str">
        <f t="shared" si="1"/>
        <v>Sat</v>
      </c>
      <c r="BE1" s="138" t="str">
        <f t="shared" si="1"/>
        <v>Sun</v>
      </c>
      <c r="BF1" s="138" t="str">
        <f t="shared" si="1"/>
        <v>Mon</v>
      </c>
      <c r="BG1" s="138" t="str">
        <f t="shared" si="1"/>
        <v>Tue</v>
      </c>
      <c r="BH1" s="138" t="str">
        <f t="shared" si="1"/>
        <v>Wed</v>
      </c>
      <c r="BI1" s="138" t="str">
        <f t="shared" si="1"/>
        <v>Thu</v>
      </c>
      <c r="BJ1" s="138" t="str">
        <f t="shared" si="1"/>
        <v>Fri</v>
      </c>
      <c r="BK1" s="138" t="str">
        <f t="shared" si="1"/>
        <v>Sat</v>
      </c>
      <c r="BL1" s="138" t="str">
        <f t="shared" si="1"/>
        <v>Sun</v>
      </c>
      <c r="BM1" s="138" t="str">
        <f t="shared" si="1"/>
        <v>Mon</v>
      </c>
      <c r="BN1" s="138" t="str">
        <f t="shared" si="1"/>
        <v>Tue</v>
      </c>
      <c r="BO1" s="138" t="str">
        <f t="shared" si="1"/>
        <v>Wed</v>
      </c>
      <c r="BP1" s="141" t="str">
        <f t="shared" si="1"/>
        <v/>
      </c>
      <c r="BQ1" s="142"/>
      <c r="BR1" s="174" t="s">
        <v>128</v>
      </c>
      <c r="BS1" s="176" t="s">
        <v>129</v>
      </c>
      <c r="BT1" s="172" t="s">
        <v>2</v>
      </c>
    </row>
    <row r="2" spans="1:222" ht="23.25" customHeight="1">
      <c r="A2" s="171"/>
      <c r="B2" s="171"/>
      <c r="C2" s="178"/>
      <c r="D2" s="171"/>
      <c r="E2" s="179"/>
      <c r="F2" s="143">
        <f>'MONTH SETTING'!G3</f>
        <v>46235</v>
      </c>
      <c r="G2" s="143">
        <f>IF(F2&lt;'MONTH SETTING'!$G$4,F2+1,"")</f>
        <v>46236</v>
      </c>
      <c r="H2" s="143">
        <f>IF(G2&lt;'MONTH SETTING'!$G$4,G2+1,"")</f>
        <v>46237</v>
      </c>
      <c r="I2" s="143">
        <f>IF(H2&lt;'MONTH SETTING'!$G$4,H2+1,"")</f>
        <v>46238</v>
      </c>
      <c r="J2" s="143">
        <f>IF(I2&lt;'MONTH SETTING'!$G$4,I2+1,"")</f>
        <v>46239</v>
      </c>
      <c r="K2" s="143">
        <f>IF(J2&lt;'MONTH SETTING'!$G$4,J2+1,"")</f>
        <v>46240</v>
      </c>
      <c r="L2" s="143">
        <f>IF(K2&lt;'MONTH SETTING'!$G$4,K2+1,"")</f>
        <v>46241</v>
      </c>
      <c r="M2" s="143">
        <f>IF(L2&lt;'MONTH SETTING'!$G$4,L2+1,"")</f>
        <v>46242</v>
      </c>
      <c r="N2" s="143">
        <f>IF(M2&lt;'MONTH SETTING'!$G$4,M2+1,"")</f>
        <v>46243</v>
      </c>
      <c r="O2" s="143">
        <f>IF(N2&lt;'MONTH SETTING'!$G$4,N2+1,"")</f>
        <v>46244</v>
      </c>
      <c r="P2" s="143">
        <f>IF(O2&lt;'MONTH SETTING'!$G$4,O2+1,"")</f>
        <v>46245</v>
      </c>
      <c r="Q2" s="143">
        <f>IF(P2&lt;'MONTH SETTING'!$G$4,P2+1,"")</f>
        <v>46246</v>
      </c>
      <c r="R2" s="143">
        <f>IF(Q2&lt;'MONTH SETTING'!$G$4,Q2+1,"")</f>
        <v>46247</v>
      </c>
      <c r="S2" s="143">
        <f>IF(R2&lt;'MONTH SETTING'!$G$4,R2+1,"")</f>
        <v>46248</v>
      </c>
      <c r="T2" s="144">
        <f>IF(S2&lt;'MONTH SETTING'!$G$4,S2+1,"")</f>
        <v>46249</v>
      </c>
      <c r="U2" s="143">
        <f>IF(T2&lt;'MONTH SETTING'!$G$4,T2+1,"")</f>
        <v>46250</v>
      </c>
      <c r="V2" s="143">
        <f>IF(U2&lt;'MONTH SETTING'!$G$4,U2+1,"")</f>
        <v>46251</v>
      </c>
      <c r="W2" s="143">
        <f>IF(V2&lt;'MONTH SETTING'!$G$4,V2+1,"")</f>
        <v>46252</v>
      </c>
      <c r="X2" s="143">
        <f>IF(W2&lt;'MONTH SETTING'!$G$4,W2+1,"")</f>
        <v>46253</v>
      </c>
      <c r="Y2" s="143">
        <f>IF(X2&lt;'MONTH SETTING'!$G$4,X2+1,"")</f>
        <v>46254</v>
      </c>
      <c r="Z2" s="143">
        <f>IF(Y2&lt;'MONTH SETTING'!$G$4,Y2+1,"")</f>
        <v>46255</v>
      </c>
      <c r="AA2" s="144">
        <f>IF(Z2&lt;'MONTH SETTING'!$G$4,Z2+1,"")</f>
        <v>46256</v>
      </c>
      <c r="AB2" s="143">
        <f>IF(AA2&lt;'MONTH SETTING'!$G$4,AA2+1,"")</f>
        <v>46257</v>
      </c>
      <c r="AC2" s="143">
        <f>IF(AB2&lt;'MONTH SETTING'!$G$4,AB2+1,"")</f>
        <v>46258</v>
      </c>
      <c r="AD2" s="143">
        <f>IF(AC2&lt;'MONTH SETTING'!$G$4,AC2+1,"")</f>
        <v>46259</v>
      </c>
      <c r="AE2" s="143">
        <f>IF(AD2&lt;'MONTH SETTING'!$G$4,AD2+1,"")</f>
        <v>46260</v>
      </c>
      <c r="AF2" s="143">
        <f>IF(AE2&lt;'MONTH SETTING'!$G$4,AE2+1,"")</f>
        <v>46261</v>
      </c>
      <c r="AG2" s="143">
        <f>IF(AF2&lt;'MONTH SETTING'!$G$4,AF2+1,"")</f>
        <v>46262</v>
      </c>
      <c r="AH2" s="143">
        <f>IF(AG2&lt;'MONTH SETTING'!$G$4,AG2+1,"")</f>
        <v>46263</v>
      </c>
      <c r="AI2" s="143">
        <f>IF(AH2&lt;'MONTH SETTING'!$G$4,AH2+1,"")</f>
        <v>46264</v>
      </c>
      <c r="AJ2" s="143">
        <f>IF(AI2&lt;'MONTH SETTING'!$G$4,AI2+1,"")</f>
        <v>46265</v>
      </c>
      <c r="AK2" s="140"/>
      <c r="AL2" s="143">
        <f>'MONTH SETTING'!$G$7</f>
        <v>46266</v>
      </c>
      <c r="AM2" s="143">
        <f>IF(AL2&lt;'MONTH SETTING'!$G$8,AL2+1,"")</f>
        <v>46267</v>
      </c>
      <c r="AN2" s="143">
        <f>IF(AM2&lt;'MONTH SETTING'!$G$8,AM2+1,"")</f>
        <v>46268</v>
      </c>
      <c r="AO2" s="143">
        <f>IF(AN2&lt;'MONTH SETTING'!$G$8,AN2+1,"")</f>
        <v>46269</v>
      </c>
      <c r="AP2" s="144">
        <f>IF(AO2&lt;'MONTH SETTING'!$G$8,AO2+1,"")</f>
        <v>46270</v>
      </c>
      <c r="AQ2" s="143">
        <f>IF(AP2&lt;'MONTH SETTING'!$G$8,AP2+1,"")</f>
        <v>46271</v>
      </c>
      <c r="AR2" s="143">
        <f>IF(AQ2&lt;'MONTH SETTING'!$G$8,AQ2+1,"")</f>
        <v>46272</v>
      </c>
      <c r="AS2" s="143">
        <f>IF(AR2&lt;'MONTH SETTING'!$G$8,AR2+1,"")</f>
        <v>46273</v>
      </c>
      <c r="AT2" s="143">
        <f>IF(AS2&lt;'MONTH SETTING'!$G$8,AS2+1,"")</f>
        <v>46274</v>
      </c>
      <c r="AU2" s="143">
        <f>IF(AT2&lt;'MONTH SETTING'!$G$8,AT2+1,"")</f>
        <v>46275</v>
      </c>
      <c r="AV2" s="143">
        <f>IF(AU2&lt;'MONTH SETTING'!$G$8,AU2+1,"")</f>
        <v>46276</v>
      </c>
      <c r="AW2" s="144">
        <f>IF(AV2&lt;'MONTH SETTING'!$G$8,AV2+1,"")</f>
        <v>46277</v>
      </c>
      <c r="AX2" s="143">
        <f>IF(AW2&lt;'MONTH SETTING'!$G$8,AW2+1,"")</f>
        <v>46278</v>
      </c>
      <c r="AY2" s="143">
        <f>IF(AX2&lt;'MONTH SETTING'!$G$8,AX2+1,"")</f>
        <v>46279</v>
      </c>
      <c r="AZ2" s="143">
        <f>IF(AY2&lt;'MONTH SETTING'!$G$8,AY2+1,"")</f>
        <v>46280</v>
      </c>
      <c r="BA2" s="143">
        <f>IF(AZ2&lt;'MONTH SETTING'!$G$8,AZ2+1,"")</f>
        <v>46281</v>
      </c>
      <c r="BB2" s="143">
        <f>IF(BA2&lt;'MONTH SETTING'!$G$8,BA2+1,"")</f>
        <v>46282</v>
      </c>
      <c r="BC2" s="143">
        <f>IF(BB2&lt;'MONTH SETTING'!$G$8,BB2+1,"")</f>
        <v>46283</v>
      </c>
      <c r="BD2" s="144">
        <f>IF(BC2&lt;'MONTH SETTING'!$G$8,BC2+1,"")</f>
        <v>46284</v>
      </c>
      <c r="BE2" s="143">
        <f>IF(BD2&lt;'MONTH SETTING'!$G$8,BD2+1,"")</f>
        <v>46285</v>
      </c>
      <c r="BF2" s="143">
        <f>IF(BE2&lt;'MONTH SETTING'!$G$8,BE2+1,"")</f>
        <v>46286</v>
      </c>
      <c r="BG2" s="143">
        <f>IF(BF2&lt;'MONTH SETTING'!$G$8,BF2+1,"")</f>
        <v>46287</v>
      </c>
      <c r="BH2" s="143">
        <f>IF(BG2&lt;'MONTH SETTING'!$G$8,BG2+1,"")</f>
        <v>46288</v>
      </c>
      <c r="BI2" s="143">
        <f>IF(BH2&lt;'MONTH SETTING'!$G$8,BH2+1,"")</f>
        <v>46289</v>
      </c>
      <c r="BJ2" s="143">
        <f>IF(BI2&lt;'MONTH SETTING'!$G$8,BI2+1,"")</f>
        <v>46290</v>
      </c>
      <c r="BK2" s="143">
        <f>IF(BJ2&lt;'MONTH SETTING'!$G$8,BJ2+1,"")</f>
        <v>46291</v>
      </c>
      <c r="BL2" s="143">
        <f>IF(BK2&lt;'MONTH SETTING'!$G$8,BK2+1,"")</f>
        <v>46292</v>
      </c>
      <c r="BM2" s="143">
        <f>IF(BL2&lt;'MONTH SETTING'!$G$8,BL2+1,"")</f>
        <v>46293</v>
      </c>
      <c r="BN2" s="143">
        <f>IF(BM2&lt;'MONTH SETTING'!$G$8,BM2+1,"")</f>
        <v>46294</v>
      </c>
      <c r="BO2" s="143">
        <f>IF(BN2&lt;'MONTH SETTING'!$G$8,BN2+1,"")</f>
        <v>46295</v>
      </c>
      <c r="BP2" s="145" t="str">
        <f>IF(BO2&lt;'MONTH SETTING'!$G$8,BO2+1,"")</f>
        <v/>
      </c>
      <c r="BQ2" s="146"/>
      <c r="BR2" s="175"/>
      <c r="BS2" s="177"/>
      <c r="BT2" s="17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</row>
    <row r="3" spans="1:222" s="64" customFormat="1" ht="27.9" customHeight="1">
      <c r="A3" s="89">
        <v>1</v>
      </c>
      <c r="B3" s="90">
        <v>2407930680</v>
      </c>
      <c r="C3" s="91" t="s">
        <v>90</v>
      </c>
      <c r="D3" s="90" t="s">
        <v>74</v>
      </c>
      <c r="E3" s="92" t="s">
        <v>93</v>
      </c>
      <c r="F3" s="83"/>
      <c r="G3" s="84"/>
      <c r="H3" s="85"/>
      <c r="I3" s="84"/>
      <c r="J3" s="84"/>
      <c r="K3" s="84"/>
      <c r="L3" s="84"/>
      <c r="M3" s="84"/>
      <c r="N3" s="84"/>
      <c r="O3" s="85"/>
      <c r="P3" s="84"/>
      <c r="Q3" s="84"/>
      <c r="R3" s="108"/>
      <c r="S3" s="107"/>
      <c r="T3" s="132"/>
      <c r="U3" s="132"/>
      <c r="V3" s="108"/>
      <c r="W3" s="132"/>
      <c r="X3" s="163">
        <v>2</v>
      </c>
      <c r="Y3" s="150">
        <v>2</v>
      </c>
      <c r="Z3" s="148"/>
      <c r="AA3" s="149">
        <v>2</v>
      </c>
      <c r="AB3" s="150">
        <v>2</v>
      </c>
      <c r="AC3" s="149">
        <v>2</v>
      </c>
      <c r="AD3" s="149">
        <v>2</v>
      </c>
      <c r="AE3" s="151">
        <v>2</v>
      </c>
      <c r="AF3" s="150">
        <v>2</v>
      </c>
      <c r="AG3" s="149"/>
      <c r="AH3" s="149">
        <v>2</v>
      </c>
      <c r="AI3" s="149">
        <v>2</v>
      </c>
      <c r="AJ3" s="149">
        <v>2</v>
      </c>
      <c r="AK3" s="152"/>
      <c r="AL3" s="149">
        <v>2</v>
      </c>
      <c r="AM3" s="151">
        <v>2</v>
      </c>
      <c r="AN3" s="150">
        <v>2</v>
      </c>
      <c r="AO3" s="113"/>
      <c r="AP3" s="113">
        <v>2</v>
      </c>
      <c r="AQ3" s="148"/>
      <c r="AR3" s="149"/>
      <c r="AS3" s="149"/>
      <c r="AT3" s="151"/>
      <c r="AU3" s="150"/>
      <c r="AV3" s="150"/>
      <c r="AW3" s="128"/>
      <c r="AX3" s="149"/>
      <c r="AY3" s="149"/>
      <c r="AZ3" s="149"/>
      <c r="BA3" s="151"/>
      <c r="BB3" s="150"/>
      <c r="BC3" s="149"/>
      <c r="BD3" s="128"/>
      <c r="BE3" s="128"/>
      <c r="BF3" s="117"/>
      <c r="BG3" s="117"/>
      <c r="BH3" s="119"/>
      <c r="BI3" s="117"/>
      <c r="BJ3" s="117"/>
      <c r="BK3" s="117"/>
      <c r="BL3" s="117"/>
      <c r="BM3" s="117"/>
      <c r="BN3" s="117"/>
      <c r="BO3" s="119"/>
      <c r="BP3" s="117"/>
      <c r="BQ3" s="120"/>
      <c r="BR3" s="121">
        <f>SUM(R3:BP3)</f>
        <v>30</v>
      </c>
      <c r="BS3" s="122">
        <f>COUNTIF(F3:BP3,"A")</f>
        <v>0</v>
      </c>
      <c r="BT3" s="114"/>
      <c r="BU3" s="61"/>
      <c r="BV3" s="61"/>
      <c r="BW3" s="61"/>
      <c r="BX3" s="79"/>
      <c r="BY3" s="80"/>
      <c r="BZ3" s="81"/>
      <c r="CA3" s="72"/>
      <c r="CB3" s="72"/>
      <c r="CC3" s="72"/>
      <c r="CD3" s="72"/>
      <c r="CE3" s="72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  <c r="GQ3" s="61"/>
      <c r="GR3" s="61"/>
      <c r="GS3" s="61"/>
      <c r="GT3" s="61"/>
      <c r="GU3" s="61"/>
      <c r="GV3" s="61"/>
      <c r="GW3" s="61"/>
      <c r="GX3" s="61"/>
      <c r="GY3" s="61"/>
      <c r="GZ3" s="61"/>
      <c r="HA3" s="61"/>
      <c r="HB3" s="61"/>
      <c r="HC3" s="61"/>
      <c r="HD3" s="61"/>
      <c r="HE3" s="61"/>
      <c r="HF3" s="61"/>
      <c r="HG3" s="61"/>
      <c r="HH3" s="61"/>
      <c r="HI3" s="61"/>
      <c r="HJ3" s="61"/>
      <c r="HK3" s="61"/>
      <c r="HL3" s="61"/>
      <c r="HM3" s="61"/>
      <c r="HN3" s="61"/>
    </row>
    <row r="4" spans="1:222" s="64" customFormat="1" ht="27.9" customHeight="1">
      <c r="A4" s="89">
        <v>2</v>
      </c>
      <c r="B4" s="93">
        <v>2078939747</v>
      </c>
      <c r="C4" s="94" t="s">
        <v>81</v>
      </c>
      <c r="D4" s="93" t="s">
        <v>82</v>
      </c>
      <c r="E4" s="96" t="s">
        <v>87</v>
      </c>
      <c r="F4" s="74"/>
      <c r="G4" s="75"/>
      <c r="H4" s="76"/>
      <c r="I4" s="75"/>
      <c r="J4" s="75"/>
      <c r="K4" s="75"/>
      <c r="L4" s="75"/>
      <c r="M4" s="75"/>
      <c r="N4" s="75"/>
      <c r="O4" s="76"/>
      <c r="P4" s="75"/>
      <c r="Q4" s="75"/>
      <c r="R4" s="106"/>
      <c r="S4" s="103"/>
      <c r="T4" s="73"/>
      <c r="U4" s="73"/>
      <c r="V4" s="133"/>
      <c r="W4" s="73"/>
      <c r="X4" s="164">
        <v>1</v>
      </c>
      <c r="Y4" s="153">
        <v>1</v>
      </c>
      <c r="Z4" s="113"/>
      <c r="AA4" s="113">
        <v>1</v>
      </c>
      <c r="AB4" s="153">
        <v>1</v>
      </c>
      <c r="AC4" s="113">
        <v>1</v>
      </c>
      <c r="AD4" s="113">
        <v>1</v>
      </c>
      <c r="AE4" s="154">
        <v>1</v>
      </c>
      <c r="AF4" s="153">
        <v>1</v>
      </c>
      <c r="AG4" s="113"/>
      <c r="AH4" s="113">
        <v>1</v>
      </c>
      <c r="AI4" s="153">
        <v>1</v>
      </c>
      <c r="AJ4" s="113">
        <v>1</v>
      </c>
      <c r="AK4" s="152"/>
      <c r="AL4" s="113">
        <v>1</v>
      </c>
      <c r="AM4" s="154">
        <v>1</v>
      </c>
      <c r="AN4" s="150">
        <v>1</v>
      </c>
      <c r="AO4" s="153"/>
      <c r="AP4" s="113">
        <v>1</v>
      </c>
      <c r="AQ4" s="232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28"/>
      <c r="BF4" s="110"/>
      <c r="BG4" s="110"/>
      <c r="BH4" s="123"/>
      <c r="BI4" s="110"/>
      <c r="BJ4" s="110"/>
      <c r="BK4" s="110"/>
      <c r="BL4" s="110"/>
      <c r="BM4" s="110"/>
      <c r="BN4" s="110"/>
      <c r="BO4" s="123"/>
      <c r="BP4" s="110"/>
      <c r="BQ4" s="124"/>
      <c r="BR4" s="121">
        <f t="shared" ref="BR4:BR54" si="2">SUM(R4:BP4)</f>
        <v>15</v>
      </c>
      <c r="BS4" s="122">
        <f t="shared" ref="BS4:BS54" si="3">COUNTIF(F4:BP4,"A")</f>
        <v>0</v>
      </c>
      <c r="BT4" s="131"/>
      <c r="BU4" s="61"/>
      <c r="BV4" s="61"/>
      <c r="BW4" s="61"/>
      <c r="BX4" s="79"/>
      <c r="BY4" s="80"/>
      <c r="BZ4" s="81"/>
      <c r="CA4" s="72"/>
      <c r="CB4" s="72"/>
      <c r="CC4" s="72"/>
      <c r="CD4" s="72"/>
      <c r="CE4" s="72"/>
      <c r="CF4" s="63"/>
      <c r="CG4" s="63"/>
      <c r="CH4" s="63"/>
      <c r="CI4" s="63"/>
      <c r="CJ4" s="63"/>
      <c r="CK4" s="63"/>
      <c r="CL4" s="63"/>
      <c r="CM4" s="63"/>
      <c r="CN4" s="63"/>
      <c r="CO4" s="63"/>
      <c r="CP4" s="63"/>
      <c r="CQ4" s="63"/>
      <c r="CR4" s="63"/>
      <c r="CS4" s="63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  <c r="GO4" s="61"/>
      <c r="GP4" s="61"/>
      <c r="GQ4" s="61"/>
      <c r="GR4" s="61"/>
      <c r="GS4" s="61"/>
      <c r="GT4" s="61"/>
      <c r="GU4" s="61"/>
      <c r="GV4" s="61"/>
      <c r="GW4" s="61"/>
      <c r="GX4" s="61"/>
      <c r="GY4" s="61"/>
      <c r="GZ4" s="61"/>
      <c r="HA4" s="61"/>
      <c r="HB4" s="61"/>
      <c r="HC4" s="61"/>
      <c r="HD4" s="61"/>
      <c r="HE4" s="61"/>
      <c r="HF4" s="61"/>
      <c r="HG4" s="61"/>
      <c r="HH4" s="61"/>
      <c r="HI4" s="61"/>
      <c r="HJ4" s="61"/>
      <c r="HK4" s="61"/>
      <c r="HL4" s="61"/>
      <c r="HM4" s="61"/>
      <c r="HN4" s="61"/>
    </row>
    <row r="5" spans="1:222" s="64" customFormat="1" ht="27.9" customHeight="1">
      <c r="A5" s="89">
        <v>3</v>
      </c>
      <c r="B5" s="93">
        <v>1401</v>
      </c>
      <c r="C5" s="94" t="s">
        <v>64</v>
      </c>
      <c r="D5" s="93" t="s">
        <v>72</v>
      </c>
      <c r="E5" s="95" t="s">
        <v>93</v>
      </c>
      <c r="F5" s="74"/>
      <c r="G5" s="75"/>
      <c r="H5" s="76"/>
      <c r="I5" s="75"/>
      <c r="J5" s="75"/>
      <c r="K5" s="75"/>
      <c r="L5" s="75"/>
      <c r="M5" s="75"/>
      <c r="N5" s="75"/>
      <c r="O5" s="76"/>
      <c r="P5" s="75"/>
      <c r="Q5" s="75"/>
      <c r="R5" s="104"/>
      <c r="S5" s="103"/>
      <c r="T5" s="73"/>
      <c r="U5" s="73"/>
      <c r="V5" s="104"/>
      <c r="W5" s="73"/>
      <c r="X5" s="164"/>
      <c r="Y5" s="153"/>
      <c r="Z5" s="153"/>
      <c r="AA5" s="153"/>
      <c r="AB5" s="153"/>
      <c r="AC5" s="153"/>
      <c r="AD5" s="153"/>
      <c r="AE5" s="113"/>
      <c r="AF5" s="153"/>
      <c r="AG5" s="153"/>
      <c r="AH5" s="153"/>
      <c r="AI5" s="153"/>
      <c r="AJ5" s="113"/>
      <c r="AK5" s="152"/>
      <c r="AL5" s="153"/>
      <c r="AM5" s="153"/>
      <c r="AN5" s="113"/>
      <c r="AO5" s="153"/>
      <c r="AP5" s="113"/>
      <c r="AQ5" s="233"/>
      <c r="AR5" s="153"/>
      <c r="AS5" s="153"/>
      <c r="AT5" s="153"/>
      <c r="AU5" s="113"/>
      <c r="AV5" s="153"/>
      <c r="AW5" s="153"/>
      <c r="AX5" s="153"/>
      <c r="AY5" s="153"/>
      <c r="AZ5" s="153"/>
      <c r="BA5" s="153"/>
      <c r="BB5" s="113"/>
      <c r="BC5" s="153"/>
      <c r="BD5" s="153"/>
      <c r="BE5" s="153"/>
      <c r="BF5" s="110"/>
      <c r="BG5" s="110"/>
      <c r="BH5" s="123"/>
      <c r="BI5" s="110"/>
      <c r="BJ5" s="110"/>
      <c r="BK5" s="110"/>
      <c r="BL5" s="110"/>
      <c r="BM5" s="110"/>
      <c r="BN5" s="110"/>
      <c r="BO5" s="123"/>
      <c r="BP5" s="110"/>
      <c r="BQ5" s="124"/>
      <c r="BR5" s="121">
        <f t="shared" si="2"/>
        <v>0</v>
      </c>
      <c r="BS5" s="122">
        <f t="shared" si="3"/>
        <v>0</v>
      </c>
      <c r="BT5" s="115" t="s">
        <v>126</v>
      </c>
      <c r="BU5" s="61"/>
      <c r="BV5" s="61"/>
      <c r="BW5" s="61"/>
      <c r="BX5" s="79"/>
      <c r="BY5" s="80"/>
      <c r="BZ5" s="81"/>
      <c r="CA5" s="72"/>
      <c r="CB5" s="72"/>
      <c r="CC5" s="72"/>
      <c r="CD5" s="72"/>
      <c r="CE5" s="72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  <c r="GR5" s="61"/>
      <c r="GS5" s="61"/>
      <c r="GT5" s="61"/>
      <c r="GU5" s="61"/>
      <c r="GV5" s="61"/>
      <c r="GW5" s="61"/>
      <c r="GX5" s="61"/>
      <c r="GY5" s="61"/>
      <c r="GZ5" s="61"/>
      <c r="HA5" s="61"/>
      <c r="HB5" s="61"/>
      <c r="HC5" s="61"/>
      <c r="HD5" s="61"/>
      <c r="HE5" s="61"/>
      <c r="HF5" s="61"/>
      <c r="HG5" s="61"/>
      <c r="HH5" s="61"/>
      <c r="HI5" s="61"/>
      <c r="HJ5" s="61"/>
      <c r="HK5" s="61"/>
      <c r="HL5" s="61"/>
      <c r="HM5" s="61"/>
      <c r="HN5" s="61"/>
    </row>
    <row r="6" spans="1:222" s="64" customFormat="1" ht="27.9" customHeight="1">
      <c r="A6" s="89">
        <v>4</v>
      </c>
      <c r="B6" s="93">
        <v>2512936473</v>
      </c>
      <c r="C6" s="94" t="s">
        <v>122</v>
      </c>
      <c r="D6" s="93" t="s">
        <v>123</v>
      </c>
      <c r="E6" s="105" t="s">
        <v>87</v>
      </c>
      <c r="F6" s="74"/>
      <c r="G6" s="75"/>
      <c r="H6" s="76"/>
      <c r="I6" s="75"/>
      <c r="J6" s="75"/>
      <c r="K6" s="75"/>
      <c r="L6" s="75"/>
      <c r="M6" s="75"/>
      <c r="N6" s="75"/>
      <c r="O6" s="76"/>
      <c r="P6" s="75"/>
      <c r="Q6" s="75"/>
      <c r="R6" s="104"/>
      <c r="S6" s="103"/>
      <c r="T6" s="73"/>
      <c r="U6" s="73"/>
      <c r="V6" s="104"/>
      <c r="W6" s="73"/>
      <c r="X6" s="159" t="s">
        <v>94</v>
      </c>
      <c r="Y6" s="159" t="s">
        <v>94</v>
      </c>
      <c r="Z6" s="113"/>
      <c r="AA6" s="159" t="s">
        <v>94</v>
      </c>
      <c r="AB6" s="159" t="s">
        <v>94</v>
      </c>
      <c r="AC6" s="159" t="s">
        <v>94</v>
      </c>
      <c r="AD6" s="159" t="s">
        <v>94</v>
      </c>
      <c r="AE6" s="159" t="s">
        <v>94</v>
      </c>
      <c r="AF6" s="159" t="s">
        <v>94</v>
      </c>
      <c r="AG6" s="113"/>
      <c r="AH6" s="159" t="s">
        <v>94</v>
      </c>
      <c r="AI6" s="159" t="s">
        <v>94</v>
      </c>
      <c r="AJ6" s="159" t="s">
        <v>94</v>
      </c>
      <c r="AK6" s="152"/>
      <c r="AL6" s="159" t="s">
        <v>94</v>
      </c>
      <c r="AM6" s="159" t="s">
        <v>94</v>
      </c>
      <c r="AN6" s="159" t="s">
        <v>94</v>
      </c>
      <c r="AO6" s="113"/>
      <c r="AP6" s="159" t="s">
        <v>94</v>
      </c>
      <c r="AQ6" s="159" t="s">
        <v>94</v>
      </c>
      <c r="AR6" s="159" t="s">
        <v>94</v>
      </c>
      <c r="AS6" s="159" t="s">
        <v>94</v>
      </c>
      <c r="AT6" s="153"/>
      <c r="AU6" s="153"/>
      <c r="AV6" s="153"/>
      <c r="AW6" s="153"/>
      <c r="AX6" s="153"/>
      <c r="AY6" s="113"/>
      <c r="AZ6" s="153"/>
      <c r="BA6" s="153"/>
      <c r="BB6" s="153"/>
      <c r="BC6" s="153"/>
      <c r="BD6" s="153"/>
      <c r="BE6" s="153"/>
      <c r="BF6" s="110"/>
      <c r="BG6" s="110"/>
      <c r="BH6" s="123"/>
      <c r="BI6" s="110"/>
      <c r="BJ6" s="110"/>
      <c r="BK6" s="110"/>
      <c r="BL6" s="110"/>
      <c r="BM6" s="110"/>
      <c r="BN6" s="110"/>
      <c r="BO6" s="123"/>
      <c r="BP6" s="110"/>
      <c r="BQ6" s="124"/>
      <c r="BR6" s="121">
        <f t="shared" si="2"/>
        <v>0</v>
      </c>
      <c r="BS6" s="122">
        <f t="shared" si="3"/>
        <v>0</v>
      </c>
      <c r="BT6" s="160" t="s">
        <v>132</v>
      </c>
      <c r="BU6" s="61"/>
      <c r="BV6" s="61"/>
      <c r="BW6" s="61"/>
      <c r="BX6" s="79"/>
      <c r="BY6" s="80"/>
      <c r="BZ6" s="81"/>
      <c r="CA6" s="72"/>
      <c r="CB6" s="72"/>
      <c r="CC6" s="72"/>
      <c r="CD6" s="72"/>
      <c r="CE6" s="72"/>
      <c r="CF6" s="63"/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  <c r="GR6" s="61"/>
      <c r="GS6" s="61"/>
      <c r="GT6" s="61"/>
      <c r="GU6" s="61"/>
      <c r="GV6" s="61"/>
      <c r="GW6" s="61"/>
      <c r="GX6" s="61"/>
      <c r="GY6" s="61"/>
      <c r="GZ6" s="61"/>
      <c r="HA6" s="61"/>
      <c r="HB6" s="61"/>
      <c r="HC6" s="61"/>
      <c r="HD6" s="61"/>
      <c r="HE6" s="61"/>
      <c r="HF6" s="61"/>
      <c r="HG6" s="61"/>
      <c r="HH6" s="61"/>
      <c r="HI6" s="61"/>
      <c r="HJ6" s="61"/>
      <c r="HK6" s="61"/>
      <c r="HL6" s="61"/>
      <c r="HM6" s="61"/>
      <c r="HN6" s="61"/>
    </row>
    <row r="7" spans="1:222" s="64" customFormat="1" ht="27.9" customHeight="1">
      <c r="A7" s="89">
        <v>5</v>
      </c>
      <c r="B7" s="93">
        <v>2377490566</v>
      </c>
      <c r="C7" s="94" t="s">
        <v>85</v>
      </c>
      <c r="D7" s="93" t="s">
        <v>86</v>
      </c>
      <c r="E7" s="96" t="s">
        <v>87</v>
      </c>
      <c r="F7" s="74"/>
      <c r="G7" s="75"/>
      <c r="H7" s="76"/>
      <c r="I7" s="75"/>
      <c r="J7" s="75"/>
      <c r="K7" s="75"/>
      <c r="L7" s="75"/>
      <c r="M7" s="75"/>
      <c r="N7" s="75"/>
      <c r="O7" s="76"/>
      <c r="P7" s="75"/>
      <c r="Q7" s="75"/>
      <c r="R7" s="106"/>
      <c r="S7" s="103"/>
      <c r="T7" s="73"/>
      <c r="U7" s="73"/>
      <c r="V7" s="104"/>
      <c r="W7" s="73"/>
      <c r="X7" s="164">
        <v>1</v>
      </c>
      <c r="Y7" s="153">
        <v>1</v>
      </c>
      <c r="Z7" s="113"/>
      <c r="AA7" s="113">
        <v>1</v>
      </c>
      <c r="AB7" s="153">
        <v>1</v>
      </c>
      <c r="AC7" s="113">
        <v>1</v>
      </c>
      <c r="AD7" s="113">
        <v>1</v>
      </c>
      <c r="AE7" s="154">
        <v>1</v>
      </c>
      <c r="AF7" s="153">
        <v>1</v>
      </c>
      <c r="AG7" s="113"/>
      <c r="AH7" s="113">
        <v>1</v>
      </c>
      <c r="AI7" s="153">
        <v>1</v>
      </c>
      <c r="AJ7" s="113">
        <v>1</v>
      </c>
      <c r="AK7" s="152"/>
      <c r="AL7" s="113">
        <v>1</v>
      </c>
      <c r="AM7" s="154">
        <v>3</v>
      </c>
      <c r="AN7" s="150">
        <v>1</v>
      </c>
      <c r="AO7" s="113">
        <v>8</v>
      </c>
      <c r="AP7" s="113">
        <v>1</v>
      </c>
      <c r="AQ7" s="149"/>
      <c r="AR7" s="113"/>
      <c r="AS7" s="113"/>
      <c r="AT7" s="154"/>
      <c r="AU7" s="150"/>
      <c r="AV7" s="113"/>
      <c r="AW7" s="113"/>
      <c r="AX7" s="155"/>
      <c r="AY7" s="113"/>
      <c r="AZ7" s="113"/>
      <c r="BA7" s="154"/>
      <c r="BB7" s="150"/>
      <c r="BC7" s="156"/>
      <c r="BD7" s="154"/>
      <c r="BE7" s="129"/>
      <c r="BF7" s="110"/>
      <c r="BG7" s="110"/>
      <c r="BH7" s="123"/>
      <c r="BI7" s="110"/>
      <c r="BJ7" s="110"/>
      <c r="BK7" s="110"/>
      <c r="BL7" s="110"/>
      <c r="BM7" s="110"/>
      <c r="BN7" s="110"/>
      <c r="BO7" s="123"/>
      <c r="BP7" s="110"/>
      <c r="BQ7" s="124"/>
      <c r="BR7" s="121">
        <f t="shared" si="2"/>
        <v>25</v>
      </c>
      <c r="BS7" s="122">
        <f t="shared" si="3"/>
        <v>0</v>
      </c>
      <c r="BT7" s="137"/>
      <c r="BU7" s="61"/>
      <c r="BV7" s="61"/>
      <c r="BW7" s="61"/>
      <c r="BX7" s="79"/>
      <c r="BY7" s="80"/>
      <c r="BZ7" s="81"/>
      <c r="CA7" s="72"/>
      <c r="CB7" s="72"/>
      <c r="CC7" s="72"/>
      <c r="CD7" s="72"/>
      <c r="CE7" s="72"/>
      <c r="CF7" s="63"/>
      <c r="CG7" s="63"/>
      <c r="CH7" s="63"/>
      <c r="CI7" s="63"/>
      <c r="CJ7" s="63"/>
      <c r="CK7" s="63"/>
      <c r="CL7" s="63"/>
      <c r="CM7" s="63"/>
      <c r="CN7" s="63"/>
      <c r="CO7" s="63"/>
      <c r="CP7" s="63"/>
      <c r="CQ7" s="63"/>
      <c r="CR7" s="63"/>
      <c r="CS7" s="63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  <c r="GR7" s="61"/>
      <c r="GS7" s="61"/>
      <c r="GT7" s="61"/>
      <c r="GU7" s="61"/>
      <c r="GV7" s="61"/>
      <c r="GW7" s="61"/>
      <c r="GX7" s="61"/>
      <c r="GY7" s="61"/>
      <c r="GZ7" s="61"/>
      <c r="HA7" s="61"/>
      <c r="HB7" s="61"/>
      <c r="HC7" s="61"/>
      <c r="HD7" s="61"/>
      <c r="HE7" s="61"/>
      <c r="HF7" s="61"/>
      <c r="HG7" s="61"/>
      <c r="HH7" s="61"/>
      <c r="HI7" s="61"/>
      <c r="HJ7" s="61"/>
      <c r="HK7" s="61"/>
      <c r="HL7" s="61"/>
      <c r="HM7" s="61"/>
      <c r="HN7" s="61"/>
    </row>
    <row r="8" spans="1:222" s="64" customFormat="1" ht="27.9" customHeight="1">
      <c r="A8" s="89">
        <v>6</v>
      </c>
      <c r="B8" s="93">
        <v>775</v>
      </c>
      <c r="C8" s="94" t="s">
        <v>124</v>
      </c>
      <c r="D8" s="93" t="s">
        <v>125</v>
      </c>
      <c r="E8" s="95" t="s">
        <v>93</v>
      </c>
      <c r="F8" s="74"/>
      <c r="G8" s="75"/>
      <c r="H8" s="76"/>
      <c r="I8" s="75"/>
      <c r="J8" s="75"/>
      <c r="K8" s="75"/>
      <c r="L8" s="75"/>
      <c r="M8" s="75"/>
      <c r="N8" s="75"/>
      <c r="O8" s="76"/>
      <c r="P8" s="75"/>
      <c r="Q8" s="75"/>
      <c r="R8" s="108"/>
      <c r="S8" s="103"/>
      <c r="T8" s="73"/>
      <c r="U8" s="73"/>
      <c r="V8" s="104"/>
      <c r="W8" s="73"/>
      <c r="X8" s="164">
        <v>1</v>
      </c>
      <c r="Y8" s="153">
        <v>1</v>
      </c>
      <c r="Z8" s="113"/>
      <c r="AA8" s="113">
        <v>1</v>
      </c>
      <c r="AB8" s="153">
        <v>1</v>
      </c>
      <c r="AC8" s="113">
        <v>1</v>
      </c>
      <c r="AD8" s="113">
        <v>1</v>
      </c>
      <c r="AE8" s="154">
        <v>1</v>
      </c>
      <c r="AF8" s="153">
        <v>1</v>
      </c>
      <c r="AG8" s="113"/>
      <c r="AH8" s="113">
        <v>1</v>
      </c>
      <c r="AI8" s="153">
        <v>1</v>
      </c>
      <c r="AJ8" s="113">
        <v>1</v>
      </c>
      <c r="AK8" s="152"/>
      <c r="AL8" s="113">
        <v>1</v>
      </c>
      <c r="AM8" s="154">
        <v>1</v>
      </c>
      <c r="AN8" s="150">
        <v>1</v>
      </c>
      <c r="AO8" s="113"/>
      <c r="AP8" s="113">
        <v>1</v>
      </c>
      <c r="AQ8" s="149"/>
      <c r="AR8" s="113"/>
      <c r="AS8" s="113"/>
      <c r="AT8" s="154"/>
      <c r="AU8" s="150"/>
      <c r="AV8" s="113"/>
      <c r="AW8" s="113"/>
      <c r="AX8" s="155"/>
      <c r="AY8" s="113"/>
      <c r="AZ8" s="113"/>
      <c r="BA8" s="154"/>
      <c r="BB8" s="150"/>
      <c r="BC8" s="156"/>
      <c r="BD8" s="154"/>
      <c r="BE8" s="129"/>
      <c r="BF8" s="110"/>
      <c r="BG8" s="110"/>
      <c r="BH8" s="123"/>
      <c r="BI8" s="110"/>
      <c r="BJ8" s="110"/>
      <c r="BK8" s="110"/>
      <c r="BL8" s="110"/>
      <c r="BM8" s="110"/>
      <c r="BN8" s="110"/>
      <c r="BO8" s="123"/>
      <c r="BP8" s="110"/>
      <c r="BQ8" s="124"/>
      <c r="BR8" s="121">
        <f t="shared" si="2"/>
        <v>15</v>
      </c>
      <c r="BS8" s="122">
        <f t="shared" si="3"/>
        <v>0</v>
      </c>
      <c r="BT8" s="130"/>
      <c r="BU8" s="61"/>
      <c r="BV8" s="61"/>
      <c r="BW8" s="61"/>
      <c r="BX8" s="79"/>
      <c r="BY8" s="80"/>
      <c r="BZ8" s="81"/>
      <c r="CA8" s="72"/>
      <c r="CB8" s="72"/>
      <c r="CC8" s="72"/>
      <c r="CD8" s="72"/>
      <c r="CE8" s="72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61"/>
      <c r="FD8" s="61"/>
      <c r="FE8" s="61"/>
      <c r="FF8" s="61"/>
      <c r="FG8" s="61"/>
      <c r="FH8" s="61"/>
      <c r="FI8" s="61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  <c r="GO8" s="61"/>
      <c r="GP8" s="61"/>
      <c r="GQ8" s="61"/>
      <c r="GR8" s="61"/>
      <c r="GS8" s="61"/>
      <c r="GT8" s="61"/>
      <c r="GU8" s="61"/>
      <c r="GV8" s="61"/>
      <c r="GW8" s="61"/>
      <c r="GX8" s="61"/>
      <c r="GY8" s="61"/>
      <c r="GZ8" s="61"/>
      <c r="HA8" s="61"/>
      <c r="HB8" s="61"/>
      <c r="HC8" s="61"/>
      <c r="HD8" s="61"/>
      <c r="HE8" s="61"/>
      <c r="HF8" s="61"/>
      <c r="HG8" s="61"/>
      <c r="HH8" s="61"/>
      <c r="HI8" s="61"/>
      <c r="HJ8" s="61"/>
      <c r="HK8" s="61"/>
      <c r="HL8" s="61"/>
      <c r="HM8" s="61"/>
      <c r="HN8" s="61"/>
    </row>
    <row r="9" spans="1:222" s="64" customFormat="1" ht="27.9" customHeight="1">
      <c r="A9" s="89">
        <v>7</v>
      </c>
      <c r="B9" s="93">
        <v>2588344990</v>
      </c>
      <c r="C9" s="94" t="s">
        <v>127</v>
      </c>
      <c r="D9" s="93" t="s">
        <v>125</v>
      </c>
      <c r="E9" s="95" t="s">
        <v>93</v>
      </c>
      <c r="F9" s="74"/>
      <c r="G9" s="75"/>
      <c r="H9" s="76"/>
      <c r="I9" s="75"/>
      <c r="J9" s="75"/>
      <c r="K9" s="75"/>
      <c r="L9" s="75"/>
      <c r="M9" s="75"/>
      <c r="N9" s="75"/>
      <c r="O9" s="76"/>
      <c r="P9" s="75"/>
      <c r="Q9" s="75"/>
      <c r="R9" s="108"/>
      <c r="S9" s="103"/>
      <c r="T9" s="73"/>
      <c r="U9" s="73"/>
      <c r="V9" s="104"/>
      <c r="W9" s="73"/>
      <c r="X9" s="164">
        <v>1</v>
      </c>
      <c r="Y9" s="153">
        <v>1</v>
      </c>
      <c r="Z9" s="153"/>
      <c r="AA9" s="153">
        <v>1</v>
      </c>
      <c r="AB9" s="153">
        <v>1</v>
      </c>
      <c r="AC9" s="153">
        <v>1</v>
      </c>
      <c r="AD9" s="153">
        <v>1</v>
      </c>
      <c r="AE9" s="154">
        <v>1</v>
      </c>
      <c r="AF9" s="153">
        <v>1</v>
      </c>
      <c r="AG9" s="153"/>
      <c r="AH9" s="153">
        <v>1</v>
      </c>
      <c r="AI9" s="153">
        <v>1</v>
      </c>
      <c r="AJ9" s="113">
        <v>1</v>
      </c>
      <c r="AK9" s="152"/>
      <c r="AL9" s="113">
        <v>1</v>
      </c>
      <c r="AM9" s="113">
        <v>1</v>
      </c>
      <c r="AN9" s="153">
        <v>1</v>
      </c>
      <c r="AO9" s="113">
        <v>6</v>
      </c>
      <c r="AP9" s="113">
        <v>1</v>
      </c>
      <c r="AQ9" s="113"/>
      <c r="AR9" s="113"/>
      <c r="AS9" s="113"/>
      <c r="AT9" s="113"/>
      <c r="AU9" s="150"/>
      <c r="AV9" s="113"/>
      <c r="AW9" s="113"/>
      <c r="AX9" s="113"/>
      <c r="AY9" s="113"/>
      <c r="AZ9" s="113"/>
      <c r="BA9" s="113"/>
      <c r="BB9" s="150"/>
      <c r="BC9" s="156"/>
      <c r="BD9" s="154"/>
      <c r="BE9" s="129"/>
      <c r="BF9" s="110"/>
      <c r="BG9" s="110"/>
      <c r="BH9" s="123"/>
      <c r="BI9" s="110"/>
      <c r="BJ9" s="110"/>
      <c r="BK9" s="110"/>
      <c r="BL9" s="110"/>
      <c r="BM9" s="110"/>
      <c r="BN9" s="110"/>
      <c r="BO9" s="123"/>
      <c r="BP9" s="110"/>
      <c r="BQ9" s="124"/>
      <c r="BR9" s="121">
        <f t="shared" si="2"/>
        <v>21</v>
      </c>
      <c r="BS9" s="122">
        <f t="shared" si="3"/>
        <v>0</v>
      </c>
      <c r="BT9" s="115"/>
      <c r="BU9" s="61"/>
      <c r="BV9" s="61"/>
      <c r="BW9" s="61"/>
      <c r="BX9" s="79"/>
      <c r="BY9" s="80"/>
      <c r="BZ9" s="81"/>
      <c r="CA9" s="72"/>
      <c r="CB9" s="72"/>
      <c r="CC9" s="72"/>
      <c r="CD9" s="72"/>
      <c r="CE9" s="72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  <c r="GR9" s="61"/>
      <c r="GS9" s="61"/>
      <c r="GT9" s="61"/>
      <c r="GU9" s="61"/>
      <c r="GV9" s="61"/>
      <c r="GW9" s="61"/>
      <c r="GX9" s="61"/>
      <c r="GY9" s="61"/>
      <c r="GZ9" s="61"/>
      <c r="HA9" s="61"/>
      <c r="HB9" s="61"/>
      <c r="HC9" s="61"/>
      <c r="HD9" s="61"/>
      <c r="HE9" s="61"/>
      <c r="HF9" s="61"/>
      <c r="HG9" s="61"/>
      <c r="HH9" s="61"/>
      <c r="HI9" s="61"/>
      <c r="HJ9" s="61"/>
      <c r="HK9" s="61"/>
      <c r="HL9" s="61"/>
      <c r="HM9" s="61"/>
      <c r="HN9" s="61"/>
    </row>
    <row r="10" spans="1:222" s="64" customFormat="1" ht="30.75" customHeight="1">
      <c r="A10" s="89">
        <v>8</v>
      </c>
      <c r="B10" s="93">
        <v>2412520922</v>
      </c>
      <c r="C10" s="94" t="s">
        <v>107</v>
      </c>
      <c r="D10" s="93" t="s">
        <v>106</v>
      </c>
      <c r="E10" s="95" t="s">
        <v>93</v>
      </c>
      <c r="F10" s="74"/>
      <c r="G10" s="75"/>
      <c r="H10" s="76"/>
      <c r="I10" s="75"/>
      <c r="J10" s="75"/>
      <c r="K10" s="75"/>
      <c r="L10" s="75"/>
      <c r="M10" s="75"/>
      <c r="N10" s="75"/>
      <c r="O10" s="76"/>
      <c r="P10" s="75"/>
      <c r="Q10" s="75"/>
      <c r="R10" s="108"/>
      <c r="S10" s="103"/>
      <c r="T10" s="73"/>
      <c r="U10" s="73"/>
      <c r="V10" s="104"/>
      <c r="W10" s="73"/>
      <c r="X10" s="164">
        <v>2</v>
      </c>
      <c r="Y10" s="153">
        <v>2</v>
      </c>
      <c r="Z10" s="113"/>
      <c r="AA10" s="113">
        <v>2</v>
      </c>
      <c r="AB10" s="153">
        <v>2</v>
      </c>
      <c r="AC10" s="113">
        <v>2</v>
      </c>
      <c r="AD10" s="113">
        <v>2</v>
      </c>
      <c r="AE10" s="154">
        <v>2</v>
      </c>
      <c r="AF10" s="153">
        <v>2</v>
      </c>
      <c r="AG10" s="113"/>
      <c r="AH10" s="113">
        <v>2</v>
      </c>
      <c r="AI10" s="153">
        <v>2</v>
      </c>
      <c r="AJ10" s="113">
        <v>2</v>
      </c>
      <c r="AK10" s="152"/>
      <c r="AL10" s="113">
        <v>2</v>
      </c>
      <c r="AM10" s="154">
        <v>2</v>
      </c>
      <c r="AN10" s="153">
        <v>2</v>
      </c>
      <c r="AO10" s="113"/>
      <c r="AP10" s="113">
        <v>2</v>
      </c>
      <c r="AQ10" s="149"/>
      <c r="AR10" s="113"/>
      <c r="AS10" s="113"/>
      <c r="AT10" s="154"/>
      <c r="AU10" s="150"/>
      <c r="AV10" s="113"/>
      <c r="AW10" s="113"/>
      <c r="AX10" s="155"/>
      <c r="AY10" s="113"/>
      <c r="AZ10" s="113"/>
      <c r="BA10" s="154"/>
      <c r="BB10" s="150"/>
      <c r="BC10" s="113"/>
      <c r="BD10" s="113"/>
      <c r="BE10" s="128"/>
      <c r="BF10" s="110"/>
      <c r="BG10" s="110"/>
      <c r="BH10" s="123"/>
      <c r="BI10" s="110"/>
      <c r="BJ10" s="110"/>
      <c r="BK10" s="110"/>
      <c r="BL10" s="110"/>
      <c r="BM10" s="110"/>
      <c r="BN10" s="110"/>
      <c r="BO10" s="123"/>
      <c r="BP10" s="110"/>
      <c r="BQ10" s="124"/>
      <c r="BR10" s="121">
        <f t="shared" si="2"/>
        <v>30</v>
      </c>
      <c r="BS10" s="122">
        <f t="shared" si="3"/>
        <v>0</v>
      </c>
      <c r="BT10" s="115"/>
      <c r="BU10" s="61"/>
      <c r="BV10" s="61"/>
      <c r="BW10" s="61"/>
      <c r="BX10" s="79"/>
      <c r="BY10" s="80"/>
      <c r="BZ10" s="81"/>
      <c r="CA10" s="72"/>
      <c r="CB10" s="72"/>
      <c r="CC10" s="72"/>
      <c r="CD10" s="72"/>
      <c r="CE10" s="72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  <c r="GQ10" s="61"/>
      <c r="GR10" s="61"/>
      <c r="GS10" s="61"/>
      <c r="GT10" s="61"/>
      <c r="GU10" s="61"/>
      <c r="GV10" s="61"/>
      <c r="GW10" s="61"/>
      <c r="GX10" s="61"/>
      <c r="GY10" s="61"/>
      <c r="GZ10" s="61"/>
      <c r="HA10" s="61"/>
      <c r="HB10" s="61"/>
      <c r="HC10" s="61"/>
      <c r="HD10" s="61"/>
      <c r="HE10" s="61"/>
      <c r="HF10" s="61"/>
      <c r="HG10" s="61"/>
      <c r="HH10" s="61"/>
      <c r="HI10" s="61"/>
      <c r="HJ10" s="61"/>
      <c r="HK10" s="61"/>
      <c r="HL10" s="61"/>
      <c r="HM10" s="61"/>
      <c r="HN10" s="61"/>
    </row>
    <row r="11" spans="1:222" s="64" customFormat="1" ht="30.75" customHeight="1">
      <c r="A11" s="89">
        <v>9</v>
      </c>
      <c r="B11" s="93">
        <v>2533698649</v>
      </c>
      <c r="C11" s="94" t="s">
        <v>116</v>
      </c>
      <c r="D11" s="93" t="s">
        <v>117</v>
      </c>
      <c r="E11" s="95" t="s">
        <v>93</v>
      </c>
      <c r="F11" s="74"/>
      <c r="G11" s="75"/>
      <c r="H11" s="76"/>
      <c r="I11" s="75"/>
      <c r="J11" s="75"/>
      <c r="K11" s="75"/>
      <c r="L11" s="75"/>
      <c r="M11" s="75"/>
      <c r="N11" s="75"/>
      <c r="O11" s="76"/>
      <c r="P11" s="75"/>
      <c r="Q11" s="75"/>
      <c r="R11" s="108"/>
      <c r="S11" s="103"/>
      <c r="T11" s="73"/>
      <c r="U11" s="73"/>
      <c r="V11" s="104"/>
      <c r="W11" s="73"/>
      <c r="X11" s="164">
        <v>2</v>
      </c>
      <c r="Y11" s="153">
        <v>2</v>
      </c>
      <c r="Z11" s="113">
        <v>6</v>
      </c>
      <c r="AA11" s="113">
        <v>2</v>
      </c>
      <c r="AB11" s="153">
        <v>2</v>
      </c>
      <c r="AC11" s="113">
        <v>2</v>
      </c>
      <c r="AD11" s="113">
        <v>2</v>
      </c>
      <c r="AE11" s="154">
        <v>2</v>
      </c>
      <c r="AF11" s="153">
        <v>2</v>
      </c>
      <c r="AG11" s="113">
        <v>6</v>
      </c>
      <c r="AH11" s="113">
        <v>2</v>
      </c>
      <c r="AI11" s="153">
        <v>2</v>
      </c>
      <c r="AJ11" s="113">
        <v>2</v>
      </c>
      <c r="AK11" s="152"/>
      <c r="AL11" s="113">
        <v>2</v>
      </c>
      <c r="AM11" s="154">
        <v>3</v>
      </c>
      <c r="AN11" s="150">
        <v>2</v>
      </c>
      <c r="AO11" s="113">
        <v>6</v>
      </c>
      <c r="AP11" s="113">
        <v>2</v>
      </c>
      <c r="AQ11" s="149"/>
      <c r="AR11" s="113"/>
      <c r="AS11" s="113"/>
      <c r="AT11" s="154"/>
      <c r="AU11" s="150"/>
      <c r="AV11" s="113"/>
      <c r="AW11" s="113"/>
      <c r="AX11" s="155"/>
      <c r="AY11" s="113"/>
      <c r="AZ11" s="113"/>
      <c r="BA11" s="154"/>
      <c r="BB11" s="150"/>
      <c r="BC11" s="113"/>
      <c r="BD11" s="113"/>
      <c r="BE11" s="128"/>
      <c r="BF11" s="110"/>
      <c r="BG11" s="110"/>
      <c r="BH11" s="123"/>
      <c r="BI11" s="110"/>
      <c r="BJ11" s="110"/>
      <c r="BK11" s="110"/>
      <c r="BL11" s="110"/>
      <c r="BM11" s="110"/>
      <c r="BN11" s="110"/>
      <c r="BO11" s="123"/>
      <c r="BP11" s="110"/>
      <c r="BQ11" s="124"/>
      <c r="BR11" s="121">
        <f t="shared" ref="BR11:BR12" si="4">SUM(R11:BP11)</f>
        <v>49</v>
      </c>
      <c r="BS11" s="122">
        <f t="shared" ref="BS11:BS12" si="5">COUNTIF(F11:BP11,"A")</f>
        <v>0</v>
      </c>
      <c r="BT11" s="115"/>
      <c r="BU11" s="61"/>
      <c r="BV11" s="61"/>
      <c r="BW11" s="61"/>
      <c r="BX11" s="79"/>
      <c r="BY11" s="80"/>
      <c r="BZ11" s="81"/>
      <c r="CA11" s="72"/>
      <c r="CB11" s="72"/>
      <c r="CC11" s="72"/>
      <c r="CD11" s="72"/>
      <c r="CE11" s="72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  <c r="EX11" s="61"/>
      <c r="EY11" s="61"/>
      <c r="EZ11" s="61"/>
      <c r="FA11" s="61"/>
      <c r="FB11" s="61"/>
      <c r="FC11" s="61"/>
      <c r="FD11" s="61"/>
      <c r="FE11" s="61"/>
      <c r="FF11" s="61"/>
      <c r="FG11" s="61"/>
      <c r="FH11" s="61"/>
      <c r="FI11" s="61"/>
      <c r="FJ11" s="61"/>
      <c r="FK11" s="61"/>
      <c r="FL11" s="61"/>
      <c r="FM11" s="61"/>
      <c r="FN11" s="61"/>
      <c r="FO11" s="61"/>
      <c r="FP11" s="61"/>
      <c r="FQ11" s="61"/>
      <c r="FR11" s="61"/>
      <c r="FS11" s="61"/>
      <c r="FT11" s="61"/>
      <c r="FU11" s="61"/>
      <c r="FV11" s="61"/>
      <c r="FW11" s="61"/>
      <c r="FX11" s="61"/>
      <c r="FY11" s="61"/>
      <c r="FZ11" s="61"/>
      <c r="GA11" s="61"/>
      <c r="GB11" s="61"/>
      <c r="GC11" s="61"/>
      <c r="GD11" s="61"/>
      <c r="GE11" s="61"/>
      <c r="GF11" s="61"/>
      <c r="GG11" s="61"/>
      <c r="GH11" s="61"/>
      <c r="GI11" s="61"/>
      <c r="GJ11" s="61"/>
      <c r="GK11" s="61"/>
      <c r="GL11" s="61"/>
      <c r="GM11" s="61"/>
      <c r="GN11" s="61"/>
      <c r="GO11" s="61"/>
      <c r="GP11" s="61"/>
      <c r="GQ11" s="61"/>
      <c r="GR11" s="61"/>
      <c r="GS11" s="61"/>
      <c r="GT11" s="61"/>
      <c r="GU11" s="61"/>
      <c r="GV11" s="61"/>
      <c r="GW11" s="61"/>
      <c r="GX11" s="61"/>
      <c r="GY11" s="61"/>
      <c r="GZ11" s="61"/>
      <c r="HA11" s="61"/>
      <c r="HB11" s="61"/>
      <c r="HC11" s="61"/>
      <c r="HD11" s="61"/>
      <c r="HE11" s="61"/>
      <c r="HF11" s="61"/>
      <c r="HG11" s="61"/>
      <c r="HH11" s="61"/>
      <c r="HI11" s="61"/>
      <c r="HJ11" s="61"/>
      <c r="HK11" s="61"/>
      <c r="HL11" s="61"/>
      <c r="HM11" s="61"/>
      <c r="HN11" s="61"/>
    </row>
    <row r="12" spans="1:222" s="64" customFormat="1" ht="30.75" customHeight="1">
      <c r="A12" s="89">
        <v>10</v>
      </c>
      <c r="B12" s="93">
        <v>2527497917</v>
      </c>
      <c r="C12" s="94" t="s">
        <v>118</v>
      </c>
      <c r="D12" s="93" t="s">
        <v>119</v>
      </c>
      <c r="E12" s="95" t="s">
        <v>93</v>
      </c>
      <c r="F12" s="74"/>
      <c r="G12" s="75"/>
      <c r="H12" s="76"/>
      <c r="I12" s="75"/>
      <c r="J12" s="75"/>
      <c r="K12" s="75"/>
      <c r="L12" s="75"/>
      <c r="M12" s="75"/>
      <c r="N12" s="75"/>
      <c r="O12" s="76"/>
      <c r="P12" s="75"/>
      <c r="Q12" s="75"/>
      <c r="R12" s="108"/>
      <c r="S12" s="103"/>
      <c r="T12" s="73"/>
      <c r="U12" s="73"/>
      <c r="V12" s="104"/>
      <c r="W12" s="73"/>
      <c r="X12" s="164">
        <v>2</v>
      </c>
      <c r="Y12" s="153">
        <v>2</v>
      </c>
      <c r="Z12" s="113">
        <v>6</v>
      </c>
      <c r="AA12" s="113"/>
      <c r="AB12" s="153">
        <v>2</v>
      </c>
      <c r="AC12" s="113">
        <v>2</v>
      </c>
      <c r="AD12" s="113">
        <v>2</v>
      </c>
      <c r="AE12" s="154">
        <v>2</v>
      </c>
      <c r="AF12" s="153">
        <v>2</v>
      </c>
      <c r="AG12" s="113"/>
      <c r="AH12" s="113">
        <v>2</v>
      </c>
      <c r="AI12" s="153">
        <v>2</v>
      </c>
      <c r="AJ12" s="113">
        <v>2</v>
      </c>
      <c r="AK12" s="152"/>
      <c r="AL12" s="113">
        <v>2</v>
      </c>
      <c r="AM12" s="154">
        <v>3</v>
      </c>
      <c r="AN12" s="150">
        <v>2</v>
      </c>
      <c r="AO12" s="113"/>
      <c r="AP12" s="113">
        <v>2</v>
      </c>
      <c r="AQ12" s="149"/>
      <c r="AR12" s="113"/>
      <c r="AS12" s="113"/>
      <c r="AT12" s="154"/>
      <c r="AU12" s="150"/>
      <c r="AV12" s="113"/>
      <c r="AW12" s="113"/>
      <c r="AX12" s="155"/>
      <c r="AY12" s="113"/>
      <c r="AZ12" s="113"/>
      <c r="BA12" s="154"/>
      <c r="BB12" s="150"/>
      <c r="BC12" s="113"/>
      <c r="BD12" s="113"/>
      <c r="BE12" s="128"/>
      <c r="BF12" s="110"/>
      <c r="BG12" s="110"/>
      <c r="BH12" s="123"/>
      <c r="BI12" s="110"/>
      <c r="BJ12" s="110"/>
      <c r="BK12" s="110"/>
      <c r="BL12" s="110"/>
      <c r="BM12" s="110"/>
      <c r="BN12" s="110"/>
      <c r="BO12" s="123"/>
      <c r="BP12" s="110"/>
      <c r="BQ12" s="124"/>
      <c r="BR12" s="121">
        <f t="shared" si="4"/>
        <v>35</v>
      </c>
      <c r="BS12" s="122">
        <f t="shared" si="5"/>
        <v>0</v>
      </c>
      <c r="BT12" s="130"/>
      <c r="BU12" s="61"/>
      <c r="BV12" s="61"/>
      <c r="BW12" s="61"/>
      <c r="BX12" s="79"/>
      <c r="BY12" s="80"/>
      <c r="BZ12" s="81"/>
      <c r="CA12" s="72"/>
      <c r="CB12" s="72"/>
      <c r="CC12" s="72"/>
      <c r="CD12" s="72"/>
      <c r="CE12" s="72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S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1"/>
      <c r="GW12" s="61"/>
      <c r="GX12" s="61"/>
      <c r="GY12" s="61"/>
      <c r="GZ12" s="61"/>
      <c r="HA12" s="61"/>
      <c r="HB12" s="61"/>
      <c r="HC12" s="61"/>
      <c r="HD12" s="61"/>
      <c r="HE12" s="61"/>
      <c r="HF12" s="61"/>
      <c r="HG12" s="61"/>
      <c r="HH12" s="61"/>
      <c r="HI12" s="61"/>
      <c r="HJ12" s="61"/>
      <c r="HK12" s="61"/>
      <c r="HL12" s="61"/>
      <c r="HM12" s="61"/>
      <c r="HN12" s="61"/>
    </row>
    <row r="13" spans="1:222" s="64" customFormat="1" ht="27.75" customHeight="1">
      <c r="A13" s="89">
        <v>11</v>
      </c>
      <c r="B13" s="93">
        <v>1018</v>
      </c>
      <c r="C13" s="94" t="s">
        <v>95</v>
      </c>
      <c r="D13" s="99" t="s">
        <v>15</v>
      </c>
      <c r="E13" s="95" t="s">
        <v>93</v>
      </c>
      <c r="F13" s="74"/>
      <c r="G13" s="75"/>
      <c r="H13" s="76"/>
      <c r="I13" s="75"/>
      <c r="J13" s="75"/>
      <c r="K13" s="75"/>
      <c r="L13" s="75"/>
      <c r="M13" s="75"/>
      <c r="N13" s="75"/>
      <c r="O13" s="76"/>
      <c r="P13" s="75"/>
      <c r="Q13" s="75"/>
      <c r="R13" s="108"/>
      <c r="S13" s="103"/>
      <c r="T13" s="73"/>
      <c r="U13" s="73"/>
      <c r="V13" s="104"/>
      <c r="W13" s="73"/>
      <c r="X13" s="164">
        <v>2</v>
      </c>
      <c r="Y13" s="165" t="s">
        <v>134</v>
      </c>
      <c r="Z13" s="113">
        <v>6</v>
      </c>
      <c r="AA13" s="113"/>
      <c r="AB13" s="153">
        <v>2</v>
      </c>
      <c r="AC13" s="113">
        <v>2</v>
      </c>
      <c r="AD13" s="113">
        <v>2</v>
      </c>
      <c r="AE13" s="154">
        <v>2</v>
      </c>
      <c r="AF13" s="153">
        <v>2</v>
      </c>
      <c r="AG13" s="153"/>
      <c r="AH13" s="165" t="s">
        <v>134</v>
      </c>
      <c r="AI13" s="153">
        <v>2</v>
      </c>
      <c r="AJ13" s="113">
        <v>2</v>
      </c>
      <c r="AK13" s="152"/>
      <c r="AL13" s="113">
        <v>2</v>
      </c>
      <c r="AM13" s="154">
        <v>2</v>
      </c>
      <c r="AN13" s="150">
        <v>2</v>
      </c>
      <c r="AO13" s="113">
        <v>6</v>
      </c>
      <c r="AP13" s="113">
        <v>2</v>
      </c>
      <c r="AQ13" s="149"/>
      <c r="AR13" s="113"/>
      <c r="AS13" s="153"/>
      <c r="AT13" s="154"/>
      <c r="AU13" s="150"/>
      <c r="AV13" s="113"/>
      <c r="AW13" s="113"/>
      <c r="AX13" s="153"/>
      <c r="AY13" s="113"/>
      <c r="AZ13" s="113"/>
      <c r="BA13" s="154"/>
      <c r="BB13" s="113"/>
      <c r="BC13" s="113"/>
      <c r="BD13" s="113"/>
      <c r="BE13" s="128"/>
      <c r="BF13" s="110"/>
      <c r="BG13" s="110"/>
      <c r="BH13" s="123"/>
      <c r="BI13" s="110"/>
      <c r="BJ13" s="110"/>
      <c r="BK13" s="110"/>
      <c r="BL13" s="110"/>
      <c r="BM13" s="110"/>
      <c r="BN13" s="110"/>
      <c r="BO13" s="123"/>
      <c r="BP13" s="110"/>
      <c r="BQ13" s="124"/>
      <c r="BR13" s="121">
        <f t="shared" si="2"/>
        <v>36</v>
      </c>
      <c r="BS13" s="122">
        <f t="shared" si="3"/>
        <v>2</v>
      </c>
      <c r="BT13" s="115"/>
      <c r="BU13" s="61"/>
      <c r="BV13" s="61"/>
      <c r="BW13" s="61"/>
      <c r="BX13" s="79"/>
      <c r="BY13" s="80"/>
      <c r="BZ13" s="81"/>
      <c r="CA13" s="72"/>
      <c r="CB13" s="72"/>
      <c r="CC13" s="72"/>
      <c r="CD13" s="72"/>
      <c r="CE13" s="72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3"/>
      <c r="CS13" s="63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1"/>
      <c r="DQ13" s="61"/>
      <c r="DR13" s="61"/>
      <c r="DS13" s="61"/>
      <c r="DT13" s="61"/>
      <c r="DU13" s="61"/>
      <c r="DV13" s="61"/>
      <c r="DW13" s="61"/>
      <c r="DX13" s="61"/>
      <c r="DY13" s="61"/>
      <c r="DZ13" s="61"/>
      <c r="EA13" s="61"/>
      <c r="EB13" s="61"/>
      <c r="EC13" s="61"/>
      <c r="ED13" s="61"/>
      <c r="EE13" s="61"/>
      <c r="EF13" s="61"/>
      <c r="EG13" s="61"/>
      <c r="EH13" s="61"/>
      <c r="EI13" s="61"/>
      <c r="EJ13" s="61"/>
      <c r="EK13" s="61"/>
      <c r="EL13" s="61"/>
      <c r="EM13" s="61"/>
      <c r="EN13" s="61"/>
      <c r="EO13" s="61"/>
      <c r="EP13" s="61"/>
      <c r="EQ13" s="61"/>
      <c r="ER13" s="61"/>
      <c r="ES13" s="61"/>
      <c r="ET13" s="61"/>
      <c r="EU13" s="61"/>
      <c r="EV13" s="61"/>
      <c r="EW13" s="61"/>
      <c r="EX13" s="61"/>
      <c r="EY13" s="61"/>
      <c r="EZ13" s="61"/>
      <c r="FA13" s="61"/>
      <c r="FB13" s="61"/>
      <c r="FC13" s="61"/>
      <c r="FD13" s="61"/>
      <c r="FE13" s="61"/>
      <c r="FF13" s="61"/>
      <c r="FG13" s="61"/>
      <c r="FH13" s="61"/>
      <c r="FI13" s="61"/>
      <c r="FJ13" s="61"/>
      <c r="FK13" s="61"/>
      <c r="FL13" s="61"/>
      <c r="FM13" s="61"/>
      <c r="FN13" s="61"/>
      <c r="FO13" s="61"/>
      <c r="FP13" s="61"/>
      <c r="FQ13" s="61"/>
      <c r="FR13" s="61"/>
      <c r="FS13" s="61"/>
      <c r="FT13" s="61"/>
      <c r="FU13" s="61"/>
      <c r="FV13" s="61"/>
      <c r="FW13" s="61"/>
      <c r="FX13" s="61"/>
      <c r="FY13" s="61"/>
      <c r="FZ13" s="61"/>
      <c r="GA13" s="61"/>
      <c r="GB13" s="61"/>
      <c r="GC13" s="61"/>
      <c r="GD13" s="61"/>
      <c r="GE13" s="61"/>
      <c r="GF13" s="61"/>
      <c r="GG13" s="61"/>
      <c r="GH13" s="61"/>
      <c r="GI13" s="61"/>
      <c r="GJ13" s="61"/>
      <c r="GK13" s="61"/>
      <c r="GL13" s="61"/>
      <c r="GM13" s="61"/>
      <c r="GN13" s="61"/>
      <c r="GO13" s="61"/>
      <c r="GP13" s="61"/>
      <c r="GQ13" s="61"/>
      <c r="GR13" s="61"/>
      <c r="GS13" s="61"/>
      <c r="GT13" s="61"/>
      <c r="GU13" s="61"/>
      <c r="GV13" s="61"/>
      <c r="GW13" s="61"/>
      <c r="GX13" s="61"/>
      <c r="GY13" s="61"/>
      <c r="GZ13" s="61"/>
      <c r="HA13" s="61"/>
      <c r="HB13" s="61"/>
      <c r="HC13" s="61"/>
      <c r="HD13" s="61"/>
      <c r="HE13" s="61"/>
      <c r="HF13" s="61"/>
      <c r="HG13" s="61"/>
      <c r="HH13" s="61"/>
      <c r="HI13" s="61"/>
      <c r="HJ13" s="61"/>
      <c r="HK13" s="61"/>
      <c r="HL13" s="61"/>
      <c r="HM13" s="61"/>
      <c r="HN13" s="61"/>
    </row>
    <row r="14" spans="1:222" s="64" customFormat="1" ht="27.9" customHeight="1">
      <c r="A14" s="89">
        <v>12</v>
      </c>
      <c r="B14" s="99">
        <v>221</v>
      </c>
      <c r="C14" s="100" t="s">
        <v>58</v>
      </c>
      <c r="D14" s="99" t="s">
        <v>59</v>
      </c>
      <c r="E14" s="101" t="s">
        <v>93</v>
      </c>
      <c r="F14" s="102"/>
      <c r="G14" s="103"/>
      <c r="H14" s="104"/>
      <c r="I14" s="103"/>
      <c r="J14" s="103"/>
      <c r="K14" s="103"/>
      <c r="L14" s="103"/>
      <c r="M14" s="103"/>
      <c r="N14" s="103"/>
      <c r="O14" s="104"/>
      <c r="P14" s="103"/>
      <c r="Q14" s="103"/>
      <c r="R14" s="104"/>
      <c r="S14" s="103"/>
      <c r="T14" s="73"/>
      <c r="U14" s="73"/>
      <c r="V14" s="73"/>
      <c r="W14" s="73"/>
      <c r="X14" s="164">
        <v>4</v>
      </c>
      <c r="Y14" s="153">
        <v>4</v>
      </c>
      <c r="Z14" s="113">
        <v>8</v>
      </c>
      <c r="AA14" s="113">
        <v>4</v>
      </c>
      <c r="AB14" s="113">
        <v>4</v>
      </c>
      <c r="AC14" s="113">
        <v>4</v>
      </c>
      <c r="AD14" s="113">
        <v>4</v>
      </c>
      <c r="AE14" s="154">
        <v>4</v>
      </c>
      <c r="AF14" s="153">
        <v>4</v>
      </c>
      <c r="AG14" s="113">
        <v>8</v>
      </c>
      <c r="AH14" s="113">
        <v>4</v>
      </c>
      <c r="AI14" s="153">
        <v>4</v>
      </c>
      <c r="AJ14" s="113">
        <v>4</v>
      </c>
      <c r="AK14" s="152"/>
      <c r="AL14" s="113">
        <v>4</v>
      </c>
      <c r="AM14" s="113">
        <v>4</v>
      </c>
      <c r="AN14" s="170" t="s">
        <v>136</v>
      </c>
      <c r="AO14" s="113"/>
      <c r="AP14" s="170" t="s">
        <v>136</v>
      </c>
      <c r="AQ14" s="149"/>
      <c r="AR14" s="149"/>
      <c r="AS14" s="149"/>
      <c r="AT14" s="149"/>
      <c r="AU14" s="149"/>
      <c r="AV14" s="149"/>
      <c r="AW14" s="113"/>
      <c r="AX14" s="155"/>
      <c r="AY14" s="113"/>
      <c r="AZ14" s="113"/>
      <c r="BA14" s="154"/>
      <c r="BB14" s="150"/>
      <c r="BC14" s="113"/>
      <c r="BD14" s="113"/>
      <c r="BE14" s="128"/>
      <c r="BF14" s="110"/>
      <c r="BG14" s="110"/>
      <c r="BH14" s="123"/>
      <c r="BI14" s="110"/>
      <c r="BJ14" s="110"/>
      <c r="BK14" s="110"/>
      <c r="BL14" s="110"/>
      <c r="BM14" s="110"/>
      <c r="BN14" s="110"/>
      <c r="BO14" s="123"/>
      <c r="BP14" s="110"/>
      <c r="BQ14" s="124"/>
      <c r="BR14" s="121">
        <f t="shared" si="2"/>
        <v>68</v>
      </c>
      <c r="BS14" s="122">
        <f t="shared" si="3"/>
        <v>0</v>
      </c>
      <c r="BT14" s="115" t="s">
        <v>88</v>
      </c>
      <c r="BU14" s="61"/>
      <c r="BV14" s="61"/>
      <c r="BW14" s="61"/>
      <c r="BX14" s="79"/>
      <c r="BY14" s="80"/>
      <c r="BZ14" s="81"/>
      <c r="CA14" s="72"/>
      <c r="CB14" s="72"/>
      <c r="CC14" s="72"/>
      <c r="CD14" s="72"/>
      <c r="CE14" s="72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61"/>
      <c r="EO14" s="61"/>
      <c r="EP14" s="61"/>
      <c r="EQ14" s="61"/>
      <c r="ER14" s="61"/>
      <c r="ES14" s="61"/>
      <c r="ET14" s="61"/>
      <c r="EU14" s="61"/>
      <c r="EV14" s="61"/>
      <c r="EW14" s="61"/>
      <c r="EX14" s="61"/>
      <c r="EY14" s="61"/>
      <c r="EZ14" s="61"/>
      <c r="FA14" s="61"/>
      <c r="FB14" s="61"/>
      <c r="FC14" s="61"/>
      <c r="FD14" s="61"/>
      <c r="FE14" s="61"/>
      <c r="FF14" s="61"/>
      <c r="FG14" s="61"/>
      <c r="FH14" s="61"/>
      <c r="FI14" s="61"/>
      <c r="FJ14" s="61"/>
      <c r="FK14" s="61"/>
      <c r="FL14" s="61"/>
      <c r="FM14" s="61"/>
      <c r="FN14" s="61"/>
      <c r="FO14" s="61"/>
      <c r="FP14" s="61"/>
      <c r="FQ14" s="61"/>
      <c r="FR14" s="61"/>
      <c r="FS14" s="61"/>
      <c r="FT14" s="61"/>
      <c r="FU14" s="61"/>
      <c r="FV14" s="61"/>
      <c r="FW14" s="61"/>
      <c r="FX14" s="61"/>
      <c r="FY14" s="61"/>
      <c r="FZ14" s="61"/>
      <c r="GA14" s="61"/>
      <c r="GB14" s="61"/>
      <c r="GC14" s="61"/>
      <c r="GD14" s="61"/>
      <c r="GE14" s="61"/>
      <c r="GF14" s="61"/>
      <c r="GG14" s="61"/>
      <c r="GH14" s="61"/>
      <c r="GI14" s="61"/>
      <c r="GJ14" s="61"/>
      <c r="GK14" s="61"/>
      <c r="GL14" s="61"/>
      <c r="GM14" s="61"/>
      <c r="GN14" s="61"/>
      <c r="GO14" s="61"/>
      <c r="GP14" s="61"/>
      <c r="GQ14" s="61"/>
      <c r="GR14" s="61"/>
      <c r="GS14" s="61"/>
      <c r="GT14" s="61"/>
      <c r="GU14" s="61"/>
      <c r="GV14" s="61"/>
      <c r="GW14" s="61"/>
      <c r="GX14" s="61"/>
      <c r="GY14" s="61"/>
      <c r="GZ14" s="61"/>
      <c r="HA14" s="61"/>
      <c r="HB14" s="61"/>
      <c r="HC14" s="61"/>
      <c r="HD14" s="61"/>
      <c r="HE14" s="61"/>
      <c r="HF14" s="61"/>
      <c r="HG14" s="61"/>
      <c r="HH14" s="61"/>
      <c r="HI14" s="61"/>
      <c r="HJ14" s="61"/>
      <c r="HK14" s="61"/>
      <c r="HL14" s="61"/>
      <c r="HM14" s="61"/>
      <c r="HN14" s="61"/>
    </row>
    <row r="15" spans="1:222" s="64" customFormat="1" ht="27.9" customHeight="1">
      <c r="A15" s="89">
        <v>13</v>
      </c>
      <c r="B15" s="99">
        <v>220</v>
      </c>
      <c r="C15" s="94" t="s">
        <v>91</v>
      </c>
      <c r="D15" s="93" t="s">
        <v>63</v>
      </c>
      <c r="E15" s="95" t="s">
        <v>93</v>
      </c>
      <c r="F15" s="102"/>
      <c r="G15" s="103"/>
      <c r="H15" s="104"/>
      <c r="I15" s="103"/>
      <c r="J15" s="103"/>
      <c r="K15" s="103"/>
      <c r="L15" s="103"/>
      <c r="M15" s="103"/>
      <c r="N15" s="103"/>
      <c r="O15" s="104"/>
      <c r="P15" s="103"/>
      <c r="Q15" s="103"/>
      <c r="R15" s="108"/>
      <c r="S15" s="103"/>
      <c r="T15" s="73"/>
      <c r="U15" s="73"/>
      <c r="V15" s="73"/>
      <c r="W15" s="73"/>
      <c r="X15" s="164">
        <v>2</v>
      </c>
      <c r="Y15" s="153">
        <v>2</v>
      </c>
      <c r="Z15" s="113"/>
      <c r="AA15" s="113">
        <v>2</v>
      </c>
      <c r="AB15" s="153">
        <v>2</v>
      </c>
      <c r="AC15" s="113">
        <v>2</v>
      </c>
      <c r="AD15" s="113">
        <v>2</v>
      </c>
      <c r="AE15" s="113">
        <v>2</v>
      </c>
      <c r="AF15" s="153">
        <v>2</v>
      </c>
      <c r="AG15" s="153"/>
      <c r="AH15" s="153">
        <v>2</v>
      </c>
      <c r="AI15" s="153">
        <v>2</v>
      </c>
      <c r="AJ15" s="113">
        <v>2</v>
      </c>
      <c r="AK15" s="152"/>
      <c r="AL15" s="113">
        <v>2</v>
      </c>
      <c r="AM15" s="113">
        <v>2</v>
      </c>
      <c r="AN15" s="150">
        <v>2</v>
      </c>
      <c r="AO15" s="113"/>
      <c r="AP15" s="113">
        <v>2</v>
      </c>
      <c r="AQ15" s="113"/>
      <c r="AR15" s="113"/>
      <c r="AS15" s="113"/>
      <c r="AT15" s="149"/>
      <c r="AU15" s="149"/>
      <c r="AV15" s="149"/>
      <c r="AW15" s="113"/>
      <c r="AX15" s="155"/>
      <c r="AY15" s="113"/>
      <c r="AZ15" s="113"/>
      <c r="BA15" s="154"/>
      <c r="BB15" s="150"/>
      <c r="BC15" s="113"/>
      <c r="BD15" s="113"/>
      <c r="BE15" s="128"/>
      <c r="BF15" s="110"/>
      <c r="BG15" s="110"/>
      <c r="BH15" s="123"/>
      <c r="BI15" s="110"/>
      <c r="BJ15" s="110"/>
      <c r="BK15" s="110"/>
      <c r="BL15" s="110"/>
      <c r="BM15" s="110"/>
      <c r="BN15" s="110"/>
      <c r="BO15" s="123"/>
      <c r="BP15" s="110"/>
      <c r="BQ15" s="124"/>
      <c r="BR15" s="121">
        <f t="shared" ref="BR15" si="6">SUM(R15:BP15)</f>
        <v>30</v>
      </c>
      <c r="BS15" s="122">
        <f t="shared" ref="BS15" si="7">COUNTIF(F15:BP15,"A")</f>
        <v>0</v>
      </c>
      <c r="BT15" s="115"/>
      <c r="BU15" s="61"/>
      <c r="BV15" s="61"/>
      <c r="BW15" s="61"/>
      <c r="BX15" s="79"/>
      <c r="BY15" s="80"/>
      <c r="BZ15" s="81"/>
      <c r="CA15" s="72"/>
      <c r="CB15" s="72"/>
      <c r="CC15" s="72"/>
      <c r="CD15" s="72"/>
      <c r="CE15" s="72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1"/>
      <c r="CU15" s="61"/>
      <c r="CV15" s="61"/>
      <c r="CW15" s="61"/>
      <c r="CX15" s="61"/>
      <c r="CY15" s="61"/>
      <c r="CZ15" s="61"/>
      <c r="DA15" s="61"/>
      <c r="DB15" s="61"/>
      <c r="DC15" s="61"/>
      <c r="DD15" s="61"/>
      <c r="DE15" s="61"/>
      <c r="DF15" s="61"/>
      <c r="DG15" s="61"/>
      <c r="DH15" s="61"/>
      <c r="DI15" s="61"/>
      <c r="DJ15" s="61"/>
      <c r="DK15" s="61"/>
      <c r="DL15" s="61"/>
      <c r="DM15" s="61"/>
      <c r="DN15" s="61"/>
      <c r="DO15" s="61"/>
      <c r="DP15" s="61"/>
      <c r="DQ15" s="61"/>
      <c r="DR15" s="61"/>
      <c r="DS15" s="61"/>
      <c r="DT15" s="61"/>
      <c r="DU15" s="61"/>
      <c r="DV15" s="61"/>
      <c r="DW15" s="61"/>
      <c r="DX15" s="61"/>
      <c r="DY15" s="61"/>
      <c r="DZ15" s="61"/>
      <c r="EA15" s="61"/>
      <c r="EB15" s="61"/>
      <c r="EC15" s="61"/>
      <c r="ED15" s="61"/>
      <c r="EE15" s="61"/>
      <c r="EF15" s="61"/>
      <c r="EG15" s="61"/>
      <c r="EH15" s="61"/>
      <c r="EI15" s="61"/>
      <c r="EJ15" s="61"/>
      <c r="EK15" s="61"/>
      <c r="EL15" s="61"/>
      <c r="EM15" s="61"/>
      <c r="EN15" s="61"/>
      <c r="EO15" s="61"/>
      <c r="EP15" s="61"/>
      <c r="EQ15" s="61"/>
      <c r="ER15" s="61"/>
      <c r="ES15" s="61"/>
      <c r="ET15" s="61"/>
      <c r="EU15" s="61"/>
      <c r="EV15" s="61"/>
      <c r="EW15" s="61"/>
      <c r="EX15" s="61"/>
      <c r="EY15" s="61"/>
      <c r="EZ15" s="61"/>
      <c r="FA15" s="61"/>
      <c r="FB15" s="61"/>
      <c r="FC15" s="61"/>
      <c r="FD15" s="61"/>
      <c r="FE15" s="61"/>
      <c r="FF15" s="61"/>
      <c r="FG15" s="61"/>
      <c r="FH15" s="61"/>
      <c r="FI15" s="61"/>
      <c r="FJ15" s="61"/>
      <c r="FK15" s="61"/>
      <c r="FL15" s="61"/>
      <c r="FM15" s="61"/>
      <c r="FN15" s="61"/>
      <c r="FO15" s="61"/>
      <c r="FP15" s="61"/>
      <c r="FQ15" s="61"/>
      <c r="FR15" s="61"/>
      <c r="FS15" s="61"/>
      <c r="FT15" s="61"/>
      <c r="FU15" s="61"/>
      <c r="FV15" s="61"/>
      <c r="FW15" s="61"/>
      <c r="FX15" s="61"/>
      <c r="FY15" s="61"/>
      <c r="FZ15" s="61"/>
      <c r="GA15" s="61"/>
      <c r="GB15" s="61"/>
      <c r="GC15" s="61"/>
      <c r="GD15" s="61"/>
      <c r="GE15" s="61"/>
      <c r="GF15" s="61"/>
      <c r="GG15" s="61"/>
      <c r="GH15" s="61"/>
      <c r="GI15" s="61"/>
      <c r="GJ15" s="61"/>
      <c r="GK15" s="61"/>
      <c r="GL15" s="61"/>
      <c r="GM15" s="61"/>
      <c r="GN15" s="61"/>
      <c r="GO15" s="61"/>
      <c r="GP15" s="61"/>
      <c r="GQ15" s="61"/>
      <c r="GR15" s="61"/>
      <c r="GS15" s="61"/>
      <c r="GT15" s="61"/>
      <c r="GU15" s="61"/>
      <c r="GV15" s="61"/>
      <c r="GW15" s="61"/>
      <c r="GX15" s="61"/>
      <c r="GY15" s="61"/>
      <c r="GZ15" s="61"/>
      <c r="HA15" s="61"/>
      <c r="HB15" s="61"/>
      <c r="HC15" s="61"/>
      <c r="HD15" s="61"/>
      <c r="HE15" s="61"/>
      <c r="HF15" s="61"/>
      <c r="HG15" s="61"/>
      <c r="HH15" s="61"/>
      <c r="HI15" s="61"/>
      <c r="HJ15" s="61"/>
      <c r="HK15" s="61"/>
      <c r="HL15" s="61"/>
      <c r="HM15" s="61"/>
      <c r="HN15" s="61"/>
    </row>
    <row r="16" spans="1:222" s="64" customFormat="1" ht="27.9" customHeight="1">
      <c r="A16" s="89">
        <v>14</v>
      </c>
      <c r="B16" s="99" t="s">
        <v>60</v>
      </c>
      <c r="C16" s="100" t="s">
        <v>61</v>
      </c>
      <c r="D16" s="99" t="s">
        <v>77</v>
      </c>
      <c r="E16" s="101" t="s">
        <v>93</v>
      </c>
      <c r="F16" s="102"/>
      <c r="G16" s="103"/>
      <c r="H16" s="104"/>
      <c r="I16" s="103"/>
      <c r="J16" s="103"/>
      <c r="K16" s="103"/>
      <c r="L16" s="103"/>
      <c r="M16" s="103"/>
      <c r="N16" s="103"/>
      <c r="O16" s="104"/>
      <c r="P16" s="103"/>
      <c r="Q16" s="103"/>
      <c r="R16" s="106"/>
      <c r="S16" s="103"/>
      <c r="T16" s="73"/>
      <c r="U16" s="73"/>
      <c r="V16" s="73"/>
      <c r="W16" s="73"/>
      <c r="X16" s="164">
        <v>4</v>
      </c>
      <c r="Y16" s="153">
        <v>4</v>
      </c>
      <c r="Z16" s="113">
        <v>6</v>
      </c>
      <c r="AA16" s="113">
        <v>4</v>
      </c>
      <c r="AB16" s="113">
        <v>4</v>
      </c>
      <c r="AC16" s="154">
        <v>4</v>
      </c>
      <c r="AD16" s="154">
        <v>4</v>
      </c>
      <c r="AE16" s="154">
        <v>4</v>
      </c>
      <c r="AF16" s="153">
        <v>4</v>
      </c>
      <c r="AG16" s="113">
        <v>6</v>
      </c>
      <c r="AH16" s="113">
        <v>4</v>
      </c>
      <c r="AI16" s="153">
        <v>4</v>
      </c>
      <c r="AJ16" s="113">
        <v>4</v>
      </c>
      <c r="AK16" s="152"/>
      <c r="AL16" s="153">
        <v>4</v>
      </c>
      <c r="AM16" s="153">
        <v>4</v>
      </c>
      <c r="AN16" s="150">
        <v>4</v>
      </c>
      <c r="AO16" s="113">
        <v>6</v>
      </c>
      <c r="AP16" s="113">
        <v>4</v>
      </c>
      <c r="AQ16" s="149"/>
      <c r="AR16" s="113"/>
      <c r="AS16" s="113"/>
      <c r="AT16" s="154"/>
      <c r="AU16" s="150"/>
      <c r="AV16" s="113"/>
      <c r="AW16" s="113"/>
      <c r="AX16" s="155"/>
      <c r="AY16" s="113"/>
      <c r="AZ16" s="113"/>
      <c r="BA16" s="154"/>
      <c r="BB16" s="150"/>
      <c r="BC16" s="113"/>
      <c r="BD16" s="113"/>
      <c r="BE16" s="128"/>
      <c r="BF16" s="110"/>
      <c r="BG16" s="110"/>
      <c r="BH16" s="123"/>
      <c r="BI16" s="110"/>
      <c r="BJ16" s="110"/>
      <c r="BK16" s="110"/>
      <c r="BL16" s="110"/>
      <c r="BM16" s="110"/>
      <c r="BN16" s="110"/>
      <c r="BO16" s="123"/>
      <c r="BP16" s="110"/>
      <c r="BQ16" s="124"/>
      <c r="BR16" s="121">
        <f t="shared" si="2"/>
        <v>78</v>
      </c>
      <c r="BS16" s="122">
        <f t="shared" si="3"/>
        <v>0</v>
      </c>
      <c r="BT16" s="115" t="s">
        <v>73</v>
      </c>
      <c r="BU16" s="61"/>
      <c r="BV16" s="61"/>
      <c r="BW16" s="61"/>
      <c r="BX16" s="63"/>
      <c r="BY16" s="82"/>
      <c r="BZ16" s="81"/>
      <c r="CA16" s="72"/>
      <c r="CB16" s="72"/>
      <c r="CC16" s="72"/>
      <c r="CD16" s="72"/>
      <c r="CE16" s="72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61"/>
      <c r="DK16" s="61"/>
      <c r="DL16" s="61"/>
      <c r="DM16" s="61"/>
      <c r="DN16" s="61"/>
      <c r="DO16" s="61"/>
      <c r="DP16" s="61"/>
      <c r="DQ16" s="61"/>
      <c r="DR16" s="61"/>
      <c r="DS16" s="61"/>
      <c r="DT16" s="61"/>
      <c r="DU16" s="61"/>
      <c r="DV16" s="61"/>
      <c r="DW16" s="61"/>
      <c r="DX16" s="61"/>
      <c r="DY16" s="61"/>
      <c r="DZ16" s="61"/>
      <c r="EA16" s="61"/>
      <c r="EB16" s="61"/>
      <c r="EC16" s="61"/>
      <c r="ED16" s="61"/>
      <c r="EE16" s="61"/>
      <c r="EF16" s="61"/>
      <c r="EG16" s="61"/>
      <c r="EH16" s="61"/>
      <c r="EI16" s="61"/>
      <c r="EJ16" s="61"/>
      <c r="EK16" s="61"/>
      <c r="EL16" s="61"/>
      <c r="EM16" s="61"/>
      <c r="EN16" s="61"/>
      <c r="EO16" s="61"/>
      <c r="EP16" s="61"/>
      <c r="EQ16" s="61"/>
      <c r="ER16" s="61"/>
      <c r="ES16" s="61"/>
      <c r="ET16" s="61"/>
      <c r="EU16" s="61"/>
      <c r="EV16" s="61"/>
      <c r="EW16" s="61"/>
      <c r="EX16" s="61"/>
      <c r="EY16" s="61"/>
      <c r="EZ16" s="61"/>
      <c r="FA16" s="61"/>
      <c r="FB16" s="61"/>
      <c r="FC16" s="61"/>
      <c r="FD16" s="61"/>
      <c r="FE16" s="61"/>
      <c r="FF16" s="61"/>
      <c r="FG16" s="61"/>
      <c r="FH16" s="61"/>
      <c r="FI16" s="61"/>
      <c r="FJ16" s="61"/>
      <c r="FK16" s="61"/>
      <c r="FL16" s="61"/>
      <c r="FM16" s="61"/>
      <c r="FN16" s="61"/>
      <c r="FO16" s="61"/>
      <c r="FP16" s="61"/>
      <c r="FQ16" s="61"/>
      <c r="FR16" s="61"/>
      <c r="FS16" s="61"/>
      <c r="FT16" s="61"/>
      <c r="FU16" s="61"/>
      <c r="FV16" s="61"/>
      <c r="FW16" s="61"/>
      <c r="FX16" s="61"/>
      <c r="FY16" s="61"/>
      <c r="FZ16" s="61"/>
      <c r="GA16" s="61"/>
      <c r="GB16" s="61"/>
      <c r="GC16" s="61"/>
      <c r="GD16" s="61"/>
      <c r="GE16" s="61"/>
      <c r="GF16" s="61"/>
      <c r="GG16" s="61"/>
      <c r="GH16" s="61"/>
      <c r="GI16" s="61"/>
      <c r="GJ16" s="61"/>
      <c r="GK16" s="61"/>
      <c r="GL16" s="61"/>
      <c r="GM16" s="61"/>
      <c r="GN16" s="61"/>
      <c r="GO16" s="61"/>
      <c r="GP16" s="61"/>
      <c r="GQ16" s="61"/>
      <c r="GR16" s="61"/>
      <c r="GS16" s="61"/>
      <c r="GT16" s="61"/>
      <c r="GU16" s="61"/>
      <c r="GV16" s="61"/>
      <c r="GW16" s="61"/>
      <c r="GX16" s="61"/>
      <c r="GY16" s="61"/>
      <c r="GZ16" s="61"/>
      <c r="HA16" s="61"/>
      <c r="HB16" s="61"/>
      <c r="HC16" s="61"/>
      <c r="HD16" s="61"/>
      <c r="HE16" s="61"/>
      <c r="HF16" s="61"/>
      <c r="HG16" s="61"/>
      <c r="HH16" s="61"/>
      <c r="HI16" s="61"/>
      <c r="HJ16" s="61"/>
      <c r="HK16" s="61"/>
      <c r="HL16" s="61"/>
      <c r="HM16" s="61"/>
      <c r="HN16" s="61"/>
    </row>
    <row r="17" spans="1:222" s="64" customFormat="1" ht="27.9" customHeight="1">
      <c r="A17" s="89">
        <v>15</v>
      </c>
      <c r="B17" s="99">
        <v>2620914099</v>
      </c>
      <c r="C17" s="100" t="s">
        <v>112</v>
      </c>
      <c r="D17" s="99" t="s">
        <v>3</v>
      </c>
      <c r="E17" s="101" t="s">
        <v>93</v>
      </c>
      <c r="F17" s="102"/>
      <c r="G17" s="103"/>
      <c r="H17" s="104"/>
      <c r="I17" s="103"/>
      <c r="J17" s="103"/>
      <c r="K17" s="103"/>
      <c r="L17" s="103"/>
      <c r="M17" s="103"/>
      <c r="N17" s="103"/>
      <c r="O17" s="104"/>
      <c r="P17" s="103"/>
      <c r="Q17" s="103"/>
      <c r="R17" s="108"/>
      <c r="S17" s="103"/>
      <c r="T17" s="73"/>
      <c r="U17" s="73"/>
      <c r="V17" s="73"/>
      <c r="W17" s="73"/>
      <c r="X17" s="164">
        <v>2</v>
      </c>
      <c r="Y17" s="153">
        <v>2</v>
      </c>
      <c r="Z17" s="113">
        <v>6</v>
      </c>
      <c r="AA17" s="113"/>
      <c r="AB17" s="113">
        <v>2</v>
      </c>
      <c r="AC17" s="154">
        <v>2</v>
      </c>
      <c r="AD17" s="154">
        <v>2</v>
      </c>
      <c r="AE17" s="154">
        <v>2</v>
      </c>
      <c r="AF17" s="153">
        <v>2</v>
      </c>
      <c r="AG17" s="113">
        <v>6</v>
      </c>
      <c r="AH17" s="113">
        <v>2</v>
      </c>
      <c r="AI17" s="153">
        <v>2</v>
      </c>
      <c r="AJ17" s="113">
        <v>2</v>
      </c>
      <c r="AK17" s="152"/>
      <c r="AL17" s="113">
        <v>2</v>
      </c>
      <c r="AM17" s="113">
        <v>2</v>
      </c>
      <c r="AN17" s="150">
        <v>2</v>
      </c>
      <c r="AO17" s="113">
        <v>6</v>
      </c>
      <c r="AP17" s="153">
        <v>2</v>
      </c>
      <c r="AQ17" s="149"/>
      <c r="AR17" s="113"/>
      <c r="AS17" s="113"/>
      <c r="AT17" s="154"/>
      <c r="AU17" s="150"/>
      <c r="AV17" s="113"/>
      <c r="AW17" s="113"/>
      <c r="AX17" s="155"/>
      <c r="AY17" s="113"/>
      <c r="AZ17" s="113"/>
      <c r="BA17" s="154"/>
      <c r="BB17" s="150"/>
      <c r="BC17" s="113"/>
      <c r="BD17" s="113"/>
      <c r="BE17" s="128"/>
      <c r="BF17" s="110"/>
      <c r="BG17" s="110"/>
      <c r="BH17" s="123"/>
      <c r="BI17" s="110"/>
      <c r="BJ17" s="110"/>
      <c r="BK17" s="110"/>
      <c r="BL17" s="110"/>
      <c r="BM17" s="110"/>
      <c r="BN17" s="110"/>
      <c r="BO17" s="123"/>
      <c r="BP17" s="110"/>
      <c r="BQ17" s="124"/>
      <c r="BR17" s="121">
        <f t="shared" ref="BR17" si="8">SUM(R17:BP17)</f>
        <v>46</v>
      </c>
      <c r="BS17" s="122">
        <f t="shared" ref="BS17" si="9">COUNTIF(F17:BP17,"A")</f>
        <v>0</v>
      </c>
      <c r="BT17" s="136"/>
      <c r="BU17" s="61"/>
      <c r="BV17" s="61"/>
      <c r="BW17" s="61"/>
      <c r="BX17" s="63"/>
      <c r="BY17" s="82"/>
      <c r="BZ17" s="81"/>
      <c r="CA17" s="72"/>
      <c r="CB17" s="72"/>
      <c r="CC17" s="72"/>
      <c r="CD17" s="72"/>
      <c r="CE17" s="72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  <c r="DH17" s="61"/>
      <c r="DI17" s="61"/>
      <c r="DJ17" s="61"/>
      <c r="DK17" s="61"/>
      <c r="DL17" s="61"/>
      <c r="DM17" s="61"/>
      <c r="DN17" s="61"/>
      <c r="DO17" s="61"/>
      <c r="DP17" s="61"/>
      <c r="DQ17" s="61"/>
      <c r="DR17" s="61"/>
      <c r="DS17" s="61"/>
      <c r="DT17" s="61"/>
      <c r="DU17" s="61"/>
      <c r="DV17" s="61"/>
      <c r="DW17" s="61"/>
      <c r="DX17" s="61"/>
      <c r="DY17" s="61"/>
      <c r="DZ17" s="61"/>
      <c r="EA17" s="61"/>
      <c r="EB17" s="61"/>
      <c r="EC17" s="61"/>
      <c r="ED17" s="61"/>
      <c r="EE17" s="61"/>
      <c r="EF17" s="61"/>
      <c r="EG17" s="61"/>
      <c r="EH17" s="61"/>
      <c r="EI17" s="61"/>
      <c r="EJ17" s="61"/>
      <c r="EK17" s="61"/>
      <c r="EL17" s="61"/>
      <c r="EM17" s="61"/>
      <c r="EN17" s="61"/>
      <c r="EO17" s="61"/>
      <c r="EP17" s="61"/>
      <c r="EQ17" s="61"/>
      <c r="ER17" s="61"/>
      <c r="ES17" s="61"/>
      <c r="ET17" s="61"/>
      <c r="EU17" s="61"/>
      <c r="EV17" s="61"/>
      <c r="EW17" s="61"/>
      <c r="EX17" s="61"/>
      <c r="EY17" s="61"/>
      <c r="EZ17" s="61"/>
      <c r="FA17" s="61"/>
      <c r="FB17" s="61"/>
      <c r="FC17" s="61"/>
      <c r="FD17" s="61"/>
      <c r="FE17" s="61"/>
      <c r="FF17" s="61"/>
      <c r="FG17" s="61"/>
      <c r="FH17" s="61"/>
      <c r="FI17" s="61"/>
      <c r="FJ17" s="61"/>
      <c r="FK17" s="61"/>
      <c r="FL17" s="61"/>
      <c r="FM17" s="61"/>
      <c r="FN17" s="61"/>
      <c r="FO17" s="61"/>
      <c r="FP17" s="61"/>
      <c r="FQ17" s="61"/>
      <c r="FR17" s="61"/>
      <c r="FS17" s="61"/>
      <c r="FT17" s="61"/>
      <c r="FU17" s="61"/>
      <c r="FV17" s="61"/>
      <c r="FW17" s="61"/>
      <c r="FX17" s="61"/>
      <c r="FY17" s="61"/>
      <c r="FZ17" s="61"/>
      <c r="GA17" s="61"/>
      <c r="GB17" s="61"/>
      <c r="GC17" s="61"/>
      <c r="GD17" s="61"/>
      <c r="GE17" s="61"/>
      <c r="GF17" s="61"/>
      <c r="GG17" s="61"/>
      <c r="GH17" s="61"/>
      <c r="GI17" s="61"/>
      <c r="GJ17" s="61"/>
      <c r="GK17" s="61"/>
      <c r="GL17" s="61"/>
      <c r="GM17" s="61"/>
      <c r="GN17" s="61"/>
      <c r="GO17" s="61"/>
      <c r="GP17" s="61"/>
      <c r="GQ17" s="61"/>
      <c r="GR17" s="61"/>
      <c r="GS17" s="61"/>
      <c r="GT17" s="61"/>
      <c r="GU17" s="61"/>
      <c r="GV17" s="61"/>
      <c r="GW17" s="61"/>
      <c r="GX17" s="61"/>
      <c r="GY17" s="61"/>
      <c r="GZ17" s="61"/>
      <c r="HA17" s="61"/>
      <c r="HB17" s="61"/>
      <c r="HC17" s="61"/>
      <c r="HD17" s="61"/>
      <c r="HE17" s="61"/>
      <c r="HF17" s="61"/>
      <c r="HG17" s="61"/>
      <c r="HH17" s="61"/>
      <c r="HI17" s="61"/>
      <c r="HJ17" s="61"/>
      <c r="HK17" s="61"/>
      <c r="HL17" s="61"/>
      <c r="HM17" s="61"/>
      <c r="HN17" s="61"/>
    </row>
    <row r="18" spans="1:222" s="64" customFormat="1" ht="27.9" customHeight="1">
      <c r="A18" s="89">
        <v>16</v>
      </c>
      <c r="B18" s="93">
        <v>1</v>
      </c>
      <c r="C18" s="94" t="s">
        <v>9</v>
      </c>
      <c r="D18" s="93" t="s">
        <v>6</v>
      </c>
      <c r="E18" s="95" t="s">
        <v>93</v>
      </c>
      <c r="F18" s="74"/>
      <c r="G18" s="75"/>
      <c r="H18" s="76"/>
      <c r="I18" s="75"/>
      <c r="J18" s="75"/>
      <c r="K18" s="75"/>
      <c r="L18" s="75"/>
      <c r="M18" s="75"/>
      <c r="N18" s="75"/>
      <c r="O18" s="76"/>
      <c r="P18" s="75"/>
      <c r="Q18" s="75"/>
      <c r="R18" s="104"/>
      <c r="S18" s="103"/>
      <c r="T18" s="73"/>
      <c r="U18" s="73"/>
      <c r="V18" s="73"/>
      <c r="W18" s="73"/>
      <c r="X18" s="164">
        <v>2</v>
      </c>
      <c r="Y18" s="153">
        <v>3</v>
      </c>
      <c r="Z18" s="153">
        <v>6</v>
      </c>
      <c r="AA18" s="153"/>
      <c r="AB18" s="153">
        <v>2</v>
      </c>
      <c r="AC18" s="154">
        <v>2</v>
      </c>
      <c r="AD18" s="113">
        <v>2</v>
      </c>
      <c r="AE18" s="154">
        <v>2</v>
      </c>
      <c r="AF18" s="153">
        <v>2</v>
      </c>
      <c r="AG18" s="113">
        <v>6</v>
      </c>
      <c r="AH18" s="113">
        <v>2</v>
      </c>
      <c r="AI18" s="153">
        <v>2</v>
      </c>
      <c r="AJ18" s="113">
        <v>2</v>
      </c>
      <c r="AK18" s="152"/>
      <c r="AL18" s="113">
        <v>2</v>
      </c>
      <c r="AM18" s="113">
        <v>3</v>
      </c>
      <c r="AN18" s="150">
        <v>2</v>
      </c>
      <c r="AO18" s="113">
        <v>6</v>
      </c>
      <c r="AP18" s="113">
        <v>2</v>
      </c>
      <c r="AQ18" s="149"/>
      <c r="AR18" s="113"/>
      <c r="AS18" s="113"/>
      <c r="AT18" s="154"/>
      <c r="AU18" s="150"/>
      <c r="AV18" s="113"/>
      <c r="AW18" s="113"/>
      <c r="AX18" s="155"/>
      <c r="AY18" s="113"/>
      <c r="AZ18" s="113"/>
      <c r="BA18" s="153"/>
      <c r="BB18" s="150"/>
      <c r="BC18" s="113"/>
      <c r="BD18" s="113"/>
      <c r="BE18" s="128"/>
      <c r="BF18" s="110"/>
      <c r="BG18" s="110"/>
      <c r="BH18" s="123"/>
      <c r="BI18" s="110"/>
      <c r="BJ18" s="110"/>
      <c r="BK18" s="110"/>
      <c r="BL18" s="110"/>
      <c r="BM18" s="110"/>
      <c r="BN18" s="110"/>
      <c r="BO18" s="123"/>
      <c r="BP18" s="110"/>
      <c r="BQ18" s="124"/>
      <c r="BR18" s="121">
        <f t="shared" si="2"/>
        <v>48</v>
      </c>
      <c r="BS18" s="122">
        <f t="shared" si="3"/>
        <v>0</v>
      </c>
      <c r="BT18" s="115"/>
      <c r="BU18" s="61"/>
      <c r="BV18" s="61"/>
      <c r="BW18" s="61"/>
      <c r="BX18" s="63"/>
      <c r="BY18" s="63"/>
      <c r="BZ18" s="81"/>
      <c r="CA18" s="72"/>
      <c r="CB18" s="72"/>
      <c r="CC18" s="72"/>
      <c r="CD18" s="72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</row>
    <row r="19" spans="1:222" s="64" customFormat="1" ht="27.9" customHeight="1">
      <c r="A19" s="89">
        <v>17</v>
      </c>
      <c r="B19" s="93">
        <v>21</v>
      </c>
      <c r="C19" s="94" t="s">
        <v>10</v>
      </c>
      <c r="D19" s="93" t="s">
        <v>3</v>
      </c>
      <c r="E19" s="95" t="s">
        <v>93</v>
      </c>
      <c r="F19" s="74"/>
      <c r="G19" s="75"/>
      <c r="H19" s="76"/>
      <c r="I19" s="75"/>
      <c r="J19" s="75"/>
      <c r="K19" s="75"/>
      <c r="L19" s="75"/>
      <c r="M19" s="75"/>
      <c r="N19" s="75"/>
      <c r="O19" s="76"/>
      <c r="P19" s="75"/>
      <c r="Q19" s="75"/>
      <c r="R19" s="106"/>
      <c r="S19" s="103"/>
      <c r="T19" s="73"/>
      <c r="U19" s="73"/>
      <c r="V19" s="73"/>
      <c r="W19" s="73"/>
      <c r="X19" s="159" t="s">
        <v>94</v>
      </c>
      <c r="Y19" s="159" t="s">
        <v>94</v>
      </c>
      <c r="Z19" s="153"/>
      <c r="AA19" s="159" t="s">
        <v>94</v>
      </c>
      <c r="AB19" s="159" t="s">
        <v>94</v>
      </c>
      <c r="AC19" s="159" t="s">
        <v>94</v>
      </c>
      <c r="AD19" s="159" t="s">
        <v>94</v>
      </c>
      <c r="AE19" s="159" t="s">
        <v>94</v>
      </c>
      <c r="AF19" s="159" t="s">
        <v>94</v>
      </c>
      <c r="AG19" s="113"/>
      <c r="AH19" s="159" t="s">
        <v>94</v>
      </c>
      <c r="AI19" s="159" t="s">
        <v>94</v>
      </c>
      <c r="AJ19" s="159" t="s">
        <v>94</v>
      </c>
      <c r="AK19" s="152"/>
      <c r="AL19" s="159" t="s">
        <v>94</v>
      </c>
      <c r="AM19" s="159" t="s">
        <v>94</v>
      </c>
      <c r="AN19" s="159" t="s">
        <v>94</v>
      </c>
      <c r="AO19" s="153"/>
      <c r="AP19" s="159" t="s">
        <v>94</v>
      </c>
      <c r="AQ19" s="159" t="s">
        <v>94</v>
      </c>
      <c r="AR19" s="159" t="s">
        <v>94</v>
      </c>
      <c r="AS19" s="159" t="s">
        <v>94</v>
      </c>
      <c r="AT19" s="159" t="s">
        <v>94</v>
      </c>
      <c r="AU19" s="159" t="s">
        <v>94</v>
      </c>
      <c r="AV19" s="153"/>
      <c r="AW19" s="159" t="s">
        <v>94</v>
      </c>
      <c r="AX19" s="159" t="s">
        <v>94</v>
      </c>
      <c r="AY19" s="159" t="s">
        <v>94</v>
      </c>
      <c r="AZ19" s="159" t="s">
        <v>94</v>
      </c>
      <c r="BA19" s="159" t="s">
        <v>94</v>
      </c>
      <c r="BB19" s="159" t="s">
        <v>94</v>
      </c>
      <c r="BC19" s="153"/>
      <c r="BD19" s="159" t="s">
        <v>94</v>
      </c>
      <c r="BE19" s="159" t="s">
        <v>94</v>
      </c>
      <c r="BF19" s="110"/>
      <c r="BG19" s="110"/>
      <c r="BH19" s="123"/>
      <c r="BI19" s="110"/>
      <c r="BJ19" s="110"/>
      <c r="BK19" s="110"/>
      <c r="BL19" s="110"/>
      <c r="BM19" s="110"/>
      <c r="BN19" s="110"/>
      <c r="BO19" s="123"/>
      <c r="BP19" s="110"/>
      <c r="BQ19" s="124"/>
      <c r="BR19" s="121">
        <f t="shared" si="2"/>
        <v>0</v>
      </c>
      <c r="BS19" s="122">
        <f t="shared" si="3"/>
        <v>0</v>
      </c>
      <c r="BT19" s="161" t="s">
        <v>130</v>
      </c>
      <c r="BU19" s="61"/>
      <c r="BV19" s="61"/>
      <c r="BW19" s="61"/>
      <c r="BX19" s="61"/>
      <c r="BY19" s="61"/>
      <c r="BZ19" s="61"/>
      <c r="CA19" s="61"/>
      <c r="CB19" s="61"/>
      <c r="CC19" s="61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  <c r="DL19" s="61"/>
      <c r="DM19" s="61"/>
      <c r="DN19" s="61"/>
      <c r="DO19" s="61"/>
      <c r="DP19" s="61"/>
      <c r="DQ19" s="61"/>
      <c r="DR19" s="61"/>
      <c r="DS19" s="61"/>
      <c r="DT19" s="61"/>
      <c r="DU19" s="61"/>
      <c r="DV19" s="61"/>
      <c r="DW19" s="61"/>
      <c r="DX19" s="61"/>
      <c r="DY19" s="61"/>
      <c r="DZ19" s="61"/>
      <c r="EA19" s="61"/>
      <c r="EB19" s="61"/>
      <c r="EC19" s="61"/>
      <c r="ED19" s="61"/>
      <c r="EE19" s="61"/>
      <c r="EF19" s="61"/>
      <c r="EG19" s="61"/>
      <c r="EH19" s="61"/>
      <c r="EI19" s="61"/>
      <c r="EJ19" s="61"/>
      <c r="EK19" s="61"/>
      <c r="EL19" s="61"/>
      <c r="EM19" s="61"/>
      <c r="EN19" s="61"/>
      <c r="EO19" s="61"/>
      <c r="EP19" s="61"/>
      <c r="EQ19" s="61"/>
      <c r="ER19" s="61"/>
      <c r="ES19" s="61"/>
      <c r="ET19" s="61"/>
      <c r="EU19" s="61"/>
      <c r="EV19" s="61"/>
      <c r="EW19" s="61"/>
      <c r="EX19" s="61"/>
      <c r="EY19" s="61"/>
      <c r="EZ19" s="61"/>
      <c r="FA19" s="61"/>
      <c r="FB19" s="61"/>
      <c r="FC19" s="61"/>
      <c r="FD19" s="61"/>
      <c r="FE19" s="61"/>
      <c r="FF19" s="61"/>
      <c r="FG19" s="61"/>
      <c r="FH19" s="61"/>
      <c r="FI19" s="61"/>
      <c r="FJ19" s="61"/>
      <c r="FK19" s="61"/>
      <c r="FL19" s="61"/>
      <c r="FM19" s="61"/>
      <c r="FN19" s="61"/>
      <c r="FO19" s="61"/>
      <c r="FP19" s="61"/>
      <c r="FQ19" s="61"/>
      <c r="FR19" s="61"/>
      <c r="FS19" s="61"/>
      <c r="FT19" s="61"/>
      <c r="FU19" s="61"/>
      <c r="FV19" s="61"/>
      <c r="FW19" s="61"/>
      <c r="FX19" s="61"/>
      <c r="FY19" s="61"/>
      <c r="FZ19" s="61"/>
      <c r="GA19" s="61"/>
      <c r="GB19" s="61"/>
      <c r="GC19" s="61"/>
      <c r="GD19" s="61"/>
      <c r="GE19" s="61"/>
      <c r="GF19" s="61"/>
      <c r="GG19" s="61"/>
      <c r="GH19" s="61"/>
      <c r="GI19" s="61"/>
      <c r="GJ19" s="61"/>
      <c r="GK19" s="61"/>
      <c r="GL19" s="61"/>
      <c r="GM19" s="61"/>
      <c r="GN19" s="61"/>
      <c r="GO19" s="61"/>
      <c r="GP19" s="61"/>
      <c r="GQ19" s="61"/>
      <c r="GR19" s="61"/>
      <c r="GS19" s="61"/>
      <c r="GT19" s="61"/>
      <c r="GU19" s="61"/>
      <c r="GV19" s="61"/>
      <c r="GW19" s="61"/>
      <c r="GX19" s="61"/>
      <c r="GY19" s="61"/>
      <c r="GZ19" s="61"/>
      <c r="HA19" s="61"/>
      <c r="HB19" s="61"/>
      <c r="HC19" s="61"/>
      <c r="HD19" s="61"/>
      <c r="HE19" s="61"/>
      <c r="HF19" s="61"/>
      <c r="HG19" s="61"/>
      <c r="HH19" s="61"/>
      <c r="HI19" s="61"/>
      <c r="HJ19" s="61"/>
      <c r="HK19" s="61"/>
      <c r="HL19" s="61"/>
      <c r="HM19" s="61"/>
      <c r="HN19" s="61"/>
    </row>
    <row r="20" spans="1:222" s="64" customFormat="1" ht="27.9" customHeight="1">
      <c r="A20" s="89">
        <v>18</v>
      </c>
      <c r="B20" s="93">
        <v>57</v>
      </c>
      <c r="C20" s="94" t="s">
        <v>96</v>
      </c>
      <c r="D20" s="93" t="s">
        <v>97</v>
      </c>
      <c r="E20" s="95" t="s">
        <v>93</v>
      </c>
      <c r="F20" s="74"/>
      <c r="G20" s="75"/>
      <c r="H20" s="76"/>
      <c r="I20" s="75"/>
      <c r="J20" s="75"/>
      <c r="K20" s="75"/>
      <c r="L20" s="75"/>
      <c r="M20" s="75"/>
      <c r="N20" s="75"/>
      <c r="O20" s="76"/>
      <c r="P20" s="75"/>
      <c r="Q20" s="75"/>
      <c r="R20" s="108"/>
      <c r="S20" s="103"/>
      <c r="T20" s="73"/>
      <c r="U20" s="73"/>
      <c r="V20" s="73"/>
      <c r="W20" s="73"/>
      <c r="X20" s="164">
        <v>2</v>
      </c>
      <c r="Y20" s="165" t="s">
        <v>134</v>
      </c>
      <c r="Z20" s="153"/>
      <c r="AA20" s="153"/>
      <c r="AB20" s="153">
        <v>2</v>
      </c>
      <c r="AC20" s="154">
        <v>2</v>
      </c>
      <c r="AD20" s="113">
        <v>2</v>
      </c>
      <c r="AE20" s="154">
        <v>2</v>
      </c>
      <c r="AF20" s="153">
        <v>2</v>
      </c>
      <c r="AG20" s="113"/>
      <c r="AH20" s="113">
        <v>2</v>
      </c>
      <c r="AI20" s="153">
        <v>2</v>
      </c>
      <c r="AJ20" s="113">
        <v>2</v>
      </c>
      <c r="AK20" s="152"/>
      <c r="AL20" s="153">
        <v>2</v>
      </c>
      <c r="AM20" s="153">
        <v>2</v>
      </c>
      <c r="AN20" s="150">
        <v>2</v>
      </c>
      <c r="AO20" s="113">
        <v>6</v>
      </c>
      <c r="AP20" s="113">
        <v>2</v>
      </c>
      <c r="AQ20" s="113"/>
      <c r="AR20" s="113"/>
      <c r="AS20" s="153"/>
      <c r="AT20" s="154"/>
      <c r="AU20" s="150"/>
      <c r="AV20" s="113"/>
      <c r="AW20" s="113"/>
      <c r="AX20" s="155"/>
      <c r="AY20" s="113"/>
      <c r="AZ20" s="113"/>
      <c r="BA20" s="154"/>
      <c r="BB20" s="150"/>
      <c r="BC20" s="113"/>
      <c r="BD20" s="113"/>
      <c r="BE20" s="128"/>
      <c r="BF20" s="110"/>
      <c r="BG20" s="110"/>
      <c r="BH20" s="123"/>
      <c r="BI20" s="110"/>
      <c r="BJ20" s="110"/>
      <c r="BK20" s="110"/>
      <c r="BL20" s="110"/>
      <c r="BM20" s="110"/>
      <c r="BN20" s="110"/>
      <c r="BO20" s="123"/>
      <c r="BP20" s="110"/>
      <c r="BQ20" s="124"/>
      <c r="BR20" s="121">
        <f t="shared" si="2"/>
        <v>32</v>
      </c>
      <c r="BS20" s="122">
        <f>COUNTIF(F20:BP20,"A")</f>
        <v>1</v>
      </c>
      <c r="BT20" s="115"/>
      <c r="BU20" s="61"/>
      <c r="BV20" s="61"/>
      <c r="BW20" s="61"/>
      <c r="BX20" s="61"/>
      <c r="BY20" s="61"/>
      <c r="BZ20" s="61"/>
      <c r="CA20" s="61"/>
      <c r="CB20" s="61"/>
      <c r="CC20" s="61"/>
      <c r="CD20" s="63"/>
      <c r="CE20" s="63"/>
      <c r="CF20" s="63"/>
      <c r="CG20" s="63"/>
      <c r="CH20" s="63"/>
      <c r="CI20" s="63"/>
      <c r="CJ20" s="63"/>
      <c r="CK20" s="63"/>
      <c r="CL20" s="63"/>
      <c r="CM20" s="63"/>
      <c r="CN20" s="63"/>
      <c r="CO20" s="63"/>
      <c r="CP20" s="63"/>
      <c r="CQ20" s="63"/>
      <c r="CR20" s="63"/>
      <c r="CS20" s="63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  <c r="DL20" s="61"/>
      <c r="DM20" s="61"/>
      <c r="DN20" s="61"/>
      <c r="DO20" s="61"/>
      <c r="DP20" s="61"/>
      <c r="DQ20" s="61"/>
      <c r="DR20" s="61"/>
      <c r="DS20" s="61"/>
      <c r="DT20" s="61"/>
      <c r="DU20" s="61"/>
      <c r="DV20" s="61"/>
      <c r="DW20" s="61"/>
      <c r="DX20" s="61"/>
      <c r="DY20" s="61"/>
      <c r="DZ20" s="61"/>
      <c r="EA20" s="61"/>
      <c r="EB20" s="61"/>
      <c r="EC20" s="61"/>
      <c r="ED20" s="61"/>
      <c r="EE20" s="61"/>
      <c r="EF20" s="61"/>
      <c r="EG20" s="61"/>
      <c r="EH20" s="61"/>
      <c r="EI20" s="61"/>
      <c r="EJ20" s="61"/>
      <c r="EK20" s="61"/>
      <c r="EL20" s="61"/>
      <c r="EM20" s="61"/>
      <c r="EN20" s="61"/>
      <c r="EO20" s="61"/>
      <c r="EP20" s="61"/>
      <c r="EQ20" s="61"/>
      <c r="ER20" s="61"/>
      <c r="ES20" s="61"/>
      <c r="ET20" s="61"/>
      <c r="EU20" s="61"/>
      <c r="EV20" s="61"/>
      <c r="EW20" s="61"/>
      <c r="EX20" s="61"/>
      <c r="EY20" s="61"/>
      <c r="EZ20" s="61"/>
      <c r="FA20" s="61"/>
      <c r="FB20" s="61"/>
      <c r="FC20" s="61"/>
      <c r="FD20" s="61"/>
      <c r="FE20" s="61"/>
      <c r="FF20" s="61"/>
      <c r="FG20" s="61"/>
      <c r="FH20" s="61"/>
      <c r="FI20" s="61"/>
      <c r="FJ20" s="61"/>
      <c r="FK20" s="61"/>
      <c r="FL20" s="61"/>
      <c r="FM20" s="61"/>
      <c r="FN20" s="61"/>
      <c r="FO20" s="61"/>
      <c r="FP20" s="61"/>
      <c r="FQ20" s="61"/>
      <c r="FR20" s="61"/>
      <c r="FS20" s="61"/>
      <c r="FT20" s="61"/>
      <c r="FU20" s="61"/>
      <c r="FV20" s="61"/>
      <c r="FW20" s="61"/>
      <c r="FX20" s="61"/>
      <c r="FY20" s="61"/>
      <c r="FZ20" s="61"/>
      <c r="GA20" s="61"/>
      <c r="GB20" s="61"/>
      <c r="GC20" s="61"/>
      <c r="GD20" s="61"/>
      <c r="GE20" s="61"/>
      <c r="GF20" s="61"/>
      <c r="GG20" s="61"/>
      <c r="GH20" s="61"/>
      <c r="GI20" s="61"/>
      <c r="GJ20" s="61"/>
      <c r="GK20" s="61"/>
      <c r="GL20" s="61"/>
      <c r="GM20" s="61"/>
      <c r="GN20" s="61"/>
      <c r="GO20" s="61"/>
      <c r="GP20" s="61"/>
      <c r="GQ20" s="61"/>
      <c r="GR20" s="61"/>
      <c r="GS20" s="61"/>
      <c r="GT20" s="61"/>
      <c r="GU20" s="61"/>
      <c r="GV20" s="61"/>
      <c r="GW20" s="61"/>
      <c r="GX20" s="61"/>
      <c r="GY20" s="61"/>
      <c r="GZ20" s="61"/>
      <c r="HA20" s="61"/>
      <c r="HB20" s="61"/>
      <c r="HC20" s="61"/>
      <c r="HD20" s="61"/>
      <c r="HE20" s="61"/>
      <c r="HF20" s="61"/>
      <c r="HG20" s="61"/>
      <c r="HH20" s="61"/>
      <c r="HI20" s="61"/>
      <c r="HJ20" s="61"/>
      <c r="HK20" s="61"/>
      <c r="HL20" s="61"/>
      <c r="HM20" s="61"/>
      <c r="HN20" s="61"/>
    </row>
    <row r="21" spans="1:222" s="64" customFormat="1" ht="27.9" customHeight="1">
      <c r="A21" s="89">
        <v>19</v>
      </c>
      <c r="B21" s="93">
        <v>62</v>
      </c>
      <c r="C21" s="94" t="s">
        <v>113</v>
      </c>
      <c r="D21" s="93" t="s">
        <v>3</v>
      </c>
      <c r="E21" s="95" t="s">
        <v>93</v>
      </c>
      <c r="F21" s="74"/>
      <c r="G21" s="75"/>
      <c r="H21" s="76"/>
      <c r="I21" s="75"/>
      <c r="J21" s="75"/>
      <c r="K21" s="75"/>
      <c r="L21" s="75"/>
      <c r="M21" s="75"/>
      <c r="N21" s="75"/>
      <c r="O21" s="76"/>
      <c r="P21" s="75"/>
      <c r="Q21" s="75"/>
      <c r="R21" s="108"/>
      <c r="S21" s="103"/>
      <c r="T21" s="73"/>
      <c r="U21" s="73"/>
      <c r="V21" s="73"/>
      <c r="W21" s="73"/>
      <c r="X21" s="164">
        <v>2</v>
      </c>
      <c r="Y21" s="153">
        <v>2</v>
      </c>
      <c r="Z21" s="153"/>
      <c r="AA21" s="153"/>
      <c r="AB21" s="153">
        <v>2</v>
      </c>
      <c r="AC21" s="154">
        <v>2</v>
      </c>
      <c r="AD21" s="113">
        <v>2</v>
      </c>
      <c r="AE21" s="154">
        <v>2</v>
      </c>
      <c r="AF21" s="153">
        <v>2</v>
      </c>
      <c r="AG21" s="113"/>
      <c r="AH21" s="113">
        <v>2</v>
      </c>
      <c r="AI21" s="153">
        <v>2</v>
      </c>
      <c r="AJ21" s="113">
        <v>2</v>
      </c>
      <c r="AK21" s="152"/>
      <c r="AL21" s="153">
        <v>2</v>
      </c>
      <c r="AM21" s="153">
        <v>3</v>
      </c>
      <c r="AN21" s="150">
        <v>2</v>
      </c>
      <c r="AO21" s="113"/>
      <c r="AP21" s="113">
        <v>2</v>
      </c>
      <c r="AQ21" s="153"/>
      <c r="AR21" s="153"/>
      <c r="AS21" s="153"/>
      <c r="AT21" s="154"/>
      <c r="AU21" s="150"/>
      <c r="AV21" s="113"/>
      <c r="AW21" s="113"/>
      <c r="AX21" s="155"/>
      <c r="AY21" s="113"/>
      <c r="AZ21" s="113"/>
      <c r="BA21" s="154"/>
      <c r="BB21" s="150"/>
      <c r="BC21" s="113"/>
      <c r="BD21" s="113"/>
      <c r="BE21" s="128"/>
      <c r="BF21" s="110"/>
      <c r="BG21" s="110"/>
      <c r="BH21" s="123"/>
      <c r="BI21" s="110"/>
      <c r="BJ21" s="110"/>
      <c r="BK21" s="110"/>
      <c r="BL21" s="110"/>
      <c r="BM21" s="110"/>
      <c r="BN21" s="110"/>
      <c r="BO21" s="123"/>
      <c r="BP21" s="110"/>
      <c r="BQ21" s="124"/>
      <c r="BR21" s="121">
        <f t="shared" ref="BR21" si="10">SUM(R21:BP21)</f>
        <v>29</v>
      </c>
      <c r="BS21" s="122">
        <f t="shared" ref="BS21" si="11">COUNTIF(F21:BP21,"A")</f>
        <v>0</v>
      </c>
      <c r="BT21" s="136"/>
      <c r="BU21" s="61"/>
      <c r="BV21" s="61"/>
      <c r="BW21" s="61"/>
      <c r="BX21" s="61"/>
      <c r="BY21" s="61"/>
      <c r="BZ21" s="61"/>
      <c r="CA21" s="61"/>
      <c r="CB21" s="61"/>
      <c r="CC21" s="61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</row>
    <row r="22" spans="1:222" s="64" customFormat="1" ht="27.9" customHeight="1">
      <c r="A22" s="89">
        <v>20</v>
      </c>
      <c r="B22" s="93">
        <v>65</v>
      </c>
      <c r="C22" s="94" t="s">
        <v>76</v>
      </c>
      <c r="D22" s="93" t="s">
        <v>7</v>
      </c>
      <c r="E22" s="95" t="s">
        <v>93</v>
      </c>
      <c r="F22" s="74"/>
      <c r="G22" s="75"/>
      <c r="H22" s="76"/>
      <c r="I22" s="75"/>
      <c r="J22" s="75"/>
      <c r="K22" s="75"/>
      <c r="L22" s="75"/>
      <c r="M22" s="75"/>
      <c r="N22" s="75"/>
      <c r="O22" s="76"/>
      <c r="P22" s="75"/>
      <c r="Q22" s="75"/>
      <c r="R22" s="104"/>
      <c r="S22" s="103"/>
      <c r="T22" s="73"/>
      <c r="U22" s="73"/>
      <c r="V22" s="73"/>
      <c r="W22" s="73"/>
      <c r="X22" s="159" t="s">
        <v>94</v>
      </c>
      <c r="Y22" s="159" t="s">
        <v>94</v>
      </c>
      <c r="Z22" s="159"/>
      <c r="AA22" s="165" t="s">
        <v>134</v>
      </c>
      <c r="AB22" s="153">
        <v>2</v>
      </c>
      <c r="AC22" s="154">
        <v>2</v>
      </c>
      <c r="AD22" s="153">
        <v>2</v>
      </c>
      <c r="AE22" s="153">
        <v>2</v>
      </c>
      <c r="AF22" s="153">
        <v>2</v>
      </c>
      <c r="AG22" s="153"/>
      <c r="AH22" s="165" t="s">
        <v>134</v>
      </c>
      <c r="AI22" s="153">
        <v>2</v>
      </c>
      <c r="AJ22" s="113">
        <v>2</v>
      </c>
      <c r="AK22" s="152"/>
      <c r="AL22" s="153">
        <v>2</v>
      </c>
      <c r="AM22" s="153">
        <v>2</v>
      </c>
      <c r="AN22" s="153">
        <v>2</v>
      </c>
      <c r="AO22" s="153">
        <v>6</v>
      </c>
      <c r="AP22" s="153">
        <v>2</v>
      </c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3"/>
      <c r="BF22" s="110"/>
      <c r="BG22" s="110"/>
      <c r="BH22" s="123"/>
      <c r="BI22" s="110"/>
      <c r="BJ22" s="110"/>
      <c r="BK22" s="110"/>
      <c r="BL22" s="110"/>
      <c r="BM22" s="110"/>
      <c r="BN22" s="110"/>
      <c r="BO22" s="123"/>
      <c r="BP22" s="110"/>
      <c r="BQ22" s="124"/>
      <c r="BR22" s="121">
        <f t="shared" si="2"/>
        <v>28</v>
      </c>
      <c r="BS22" s="122">
        <f t="shared" si="3"/>
        <v>2</v>
      </c>
      <c r="BT22" s="116" t="s">
        <v>111</v>
      </c>
      <c r="BU22" s="61"/>
      <c r="BV22" s="61"/>
      <c r="BW22" s="61"/>
      <c r="BX22" s="61"/>
      <c r="BY22" s="61"/>
      <c r="BZ22" s="61"/>
      <c r="CA22" s="61"/>
      <c r="CB22" s="61"/>
      <c r="CC22" s="61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</row>
    <row r="23" spans="1:222" s="64" customFormat="1" ht="27.9" customHeight="1">
      <c r="A23" s="89">
        <v>21</v>
      </c>
      <c r="B23" s="99">
        <v>69</v>
      </c>
      <c r="C23" s="100" t="s">
        <v>52</v>
      </c>
      <c r="D23" s="99" t="s">
        <v>7</v>
      </c>
      <c r="E23" s="95" t="s">
        <v>93</v>
      </c>
      <c r="F23" s="102"/>
      <c r="G23" s="103"/>
      <c r="H23" s="104"/>
      <c r="I23" s="103"/>
      <c r="J23" s="103"/>
      <c r="K23" s="103"/>
      <c r="L23" s="103"/>
      <c r="M23" s="103"/>
      <c r="N23" s="103"/>
      <c r="O23" s="104"/>
      <c r="P23" s="103"/>
      <c r="Q23" s="103"/>
      <c r="R23" s="104"/>
      <c r="S23" s="103"/>
      <c r="T23" s="73"/>
      <c r="U23" s="73"/>
      <c r="V23" s="104"/>
      <c r="W23" s="73"/>
      <c r="X23" s="164">
        <v>3</v>
      </c>
      <c r="Y23" s="153">
        <v>3</v>
      </c>
      <c r="Z23" s="153">
        <v>6</v>
      </c>
      <c r="AA23" s="113"/>
      <c r="AB23" s="153">
        <v>4</v>
      </c>
      <c r="AC23" s="113">
        <v>3</v>
      </c>
      <c r="AD23" s="113">
        <v>3</v>
      </c>
      <c r="AE23" s="113">
        <v>4</v>
      </c>
      <c r="AF23" s="113">
        <v>3</v>
      </c>
      <c r="AG23" s="113">
        <v>6</v>
      </c>
      <c r="AH23" s="113">
        <v>3</v>
      </c>
      <c r="AI23" s="113">
        <v>3</v>
      </c>
      <c r="AJ23" s="113">
        <v>4</v>
      </c>
      <c r="AK23" s="152"/>
      <c r="AL23" s="113">
        <v>3</v>
      </c>
      <c r="AM23" s="113">
        <v>3</v>
      </c>
      <c r="AN23" s="150">
        <v>3</v>
      </c>
      <c r="AO23" s="150">
        <v>6</v>
      </c>
      <c r="AP23" s="150">
        <v>3</v>
      </c>
      <c r="AQ23" s="149"/>
      <c r="AR23" s="149"/>
      <c r="AS23" s="113"/>
      <c r="AT23" s="113"/>
      <c r="AU23" s="150"/>
      <c r="AV23" s="150"/>
      <c r="AW23" s="113"/>
      <c r="AX23" s="155"/>
      <c r="AY23" s="113"/>
      <c r="AZ23" s="113"/>
      <c r="BA23" s="154"/>
      <c r="BB23" s="150"/>
      <c r="BC23" s="153"/>
      <c r="BD23" s="113"/>
      <c r="BE23" s="153"/>
      <c r="BF23" s="110"/>
      <c r="BG23" s="110"/>
      <c r="BH23" s="123"/>
      <c r="BI23" s="110"/>
      <c r="BJ23" s="110"/>
      <c r="BK23" s="110"/>
      <c r="BL23" s="110"/>
      <c r="BM23" s="110"/>
      <c r="BN23" s="110"/>
      <c r="BO23" s="123"/>
      <c r="BP23" s="110"/>
      <c r="BQ23" s="124"/>
      <c r="BR23" s="121">
        <f t="shared" si="2"/>
        <v>63</v>
      </c>
      <c r="BS23" s="122">
        <f t="shared" si="3"/>
        <v>0</v>
      </c>
      <c r="BT23" s="118" t="s">
        <v>108</v>
      </c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</row>
    <row r="24" spans="1:222" s="64" customFormat="1" ht="27.9" customHeight="1">
      <c r="A24" s="89">
        <v>22</v>
      </c>
      <c r="B24" s="99">
        <v>86</v>
      </c>
      <c r="C24" s="100" t="s">
        <v>105</v>
      </c>
      <c r="D24" s="99" t="s">
        <v>97</v>
      </c>
      <c r="E24" s="95" t="s">
        <v>93</v>
      </c>
      <c r="F24" s="102"/>
      <c r="G24" s="103"/>
      <c r="H24" s="104"/>
      <c r="I24" s="103"/>
      <c r="J24" s="103"/>
      <c r="K24" s="103"/>
      <c r="L24" s="103"/>
      <c r="M24" s="103"/>
      <c r="N24" s="103"/>
      <c r="O24" s="104"/>
      <c r="P24" s="103"/>
      <c r="Q24" s="103"/>
      <c r="R24" s="108"/>
      <c r="S24" s="103"/>
      <c r="T24" s="73"/>
      <c r="U24" s="73"/>
      <c r="V24" s="104"/>
      <c r="W24" s="73"/>
      <c r="X24" s="164">
        <v>2</v>
      </c>
      <c r="Y24" s="153">
        <v>2</v>
      </c>
      <c r="Z24" s="153">
        <v>6</v>
      </c>
      <c r="AA24" s="153"/>
      <c r="AB24" s="153">
        <v>2</v>
      </c>
      <c r="AC24" s="153">
        <v>2</v>
      </c>
      <c r="AD24" s="153">
        <v>2</v>
      </c>
      <c r="AE24" s="153">
        <v>2</v>
      </c>
      <c r="AF24" s="153">
        <v>2</v>
      </c>
      <c r="AG24" s="153">
        <v>6</v>
      </c>
      <c r="AH24" s="153">
        <v>2</v>
      </c>
      <c r="AI24" s="153">
        <v>2</v>
      </c>
      <c r="AJ24" s="113">
        <v>2</v>
      </c>
      <c r="AK24" s="152"/>
      <c r="AL24" s="153">
        <v>2</v>
      </c>
      <c r="AM24" s="153">
        <v>2</v>
      </c>
      <c r="AN24" s="153">
        <v>2</v>
      </c>
      <c r="AO24" s="153">
        <v>6</v>
      </c>
      <c r="AP24" s="153">
        <v>2</v>
      </c>
      <c r="AQ24" s="153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53"/>
      <c r="BD24" s="153"/>
      <c r="BE24" s="153"/>
      <c r="BF24" s="135" t="s">
        <v>94</v>
      </c>
      <c r="BG24" s="135" t="s">
        <v>94</v>
      </c>
      <c r="BH24" s="135" t="s">
        <v>94</v>
      </c>
      <c r="BI24" s="135" t="s">
        <v>94</v>
      </c>
      <c r="BJ24" s="135" t="s">
        <v>94</v>
      </c>
      <c r="BK24" s="135" t="s">
        <v>94</v>
      </c>
      <c r="BL24" s="135" t="s">
        <v>94</v>
      </c>
      <c r="BM24" s="135" t="s">
        <v>94</v>
      </c>
      <c r="BN24" s="135" t="s">
        <v>94</v>
      </c>
      <c r="BO24" s="135" t="s">
        <v>94</v>
      </c>
      <c r="BP24" s="135" t="s">
        <v>94</v>
      </c>
      <c r="BQ24" s="135" t="s">
        <v>94</v>
      </c>
      <c r="BR24" s="121">
        <f t="shared" si="2"/>
        <v>46</v>
      </c>
      <c r="BS24" s="122">
        <f t="shared" si="3"/>
        <v>0</v>
      </c>
      <c r="BT24" s="147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</row>
    <row r="25" spans="1:222" s="64" customFormat="1" ht="27.9" customHeight="1">
      <c r="A25" s="89">
        <v>23</v>
      </c>
      <c r="B25" s="99">
        <v>91</v>
      </c>
      <c r="C25" s="100" t="s">
        <v>98</v>
      </c>
      <c r="D25" s="99" t="s">
        <v>3</v>
      </c>
      <c r="E25" s="95" t="s">
        <v>93</v>
      </c>
      <c r="F25" s="102"/>
      <c r="G25" s="103"/>
      <c r="H25" s="104"/>
      <c r="I25" s="103"/>
      <c r="J25" s="103"/>
      <c r="K25" s="103"/>
      <c r="L25" s="103"/>
      <c r="M25" s="103"/>
      <c r="N25" s="103"/>
      <c r="O25" s="104"/>
      <c r="P25" s="103"/>
      <c r="Q25" s="103"/>
      <c r="R25" s="108"/>
      <c r="S25" s="103"/>
      <c r="T25" s="73"/>
      <c r="U25" s="73"/>
      <c r="V25" s="104"/>
      <c r="W25" s="73"/>
      <c r="X25" s="164">
        <v>2</v>
      </c>
      <c r="Y25" s="153">
        <v>2</v>
      </c>
      <c r="Z25" s="153"/>
      <c r="AA25" s="113"/>
      <c r="AB25" s="165" t="s">
        <v>134</v>
      </c>
      <c r="AC25" s="113">
        <v>2</v>
      </c>
      <c r="AD25" s="113">
        <v>2</v>
      </c>
      <c r="AE25" s="113">
        <v>2</v>
      </c>
      <c r="AF25" s="113">
        <v>2</v>
      </c>
      <c r="AG25" s="113"/>
      <c r="AH25" s="113">
        <v>2</v>
      </c>
      <c r="AI25" s="165" t="s">
        <v>134</v>
      </c>
      <c r="AJ25" s="113">
        <v>2</v>
      </c>
      <c r="AK25" s="152"/>
      <c r="AL25" s="113">
        <v>2</v>
      </c>
      <c r="AM25" s="153">
        <v>3</v>
      </c>
      <c r="AN25" s="150">
        <v>2</v>
      </c>
      <c r="AO25" s="150">
        <v>6</v>
      </c>
      <c r="AP25" s="165" t="s">
        <v>134</v>
      </c>
      <c r="AQ25" s="149"/>
      <c r="AR25" s="149"/>
      <c r="AS25" s="113"/>
      <c r="AT25" s="113"/>
      <c r="AU25" s="150"/>
      <c r="AV25" s="113"/>
      <c r="AW25" s="113"/>
      <c r="AX25" s="153"/>
      <c r="AY25" s="153"/>
      <c r="AZ25" s="113"/>
      <c r="BA25" s="154"/>
      <c r="BB25" s="150"/>
      <c r="BC25" s="113"/>
      <c r="BD25" s="113"/>
      <c r="BE25" s="128"/>
      <c r="BF25" s="110"/>
      <c r="BG25" s="110"/>
      <c r="BH25" s="123"/>
      <c r="BI25" s="110"/>
      <c r="BJ25" s="110"/>
      <c r="BK25" s="110"/>
      <c r="BL25" s="110"/>
      <c r="BM25" s="110"/>
      <c r="BN25" s="110"/>
      <c r="BO25" s="123"/>
      <c r="BP25" s="110"/>
      <c r="BQ25" s="124"/>
      <c r="BR25" s="121">
        <f t="shared" si="2"/>
        <v>29</v>
      </c>
      <c r="BS25" s="122">
        <f t="shared" si="3"/>
        <v>3</v>
      </c>
      <c r="BT25" s="115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</row>
    <row r="26" spans="1:222" s="64" customFormat="1" ht="27.9" customHeight="1">
      <c r="A26" s="89">
        <v>24</v>
      </c>
      <c r="B26" s="99">
        <v>98</v>
      </c>
      <c r="C26" s="100" t="s">
        <v>11</v>
      </c>
      <c r="D26" s="99" t="s">
        <v>3</v>
      </c>
      <c r="E26" s="95" t="s">
        <v>93</v>
      </c>
      <c r="F26" s="102"/>
      <c r="G26" s="103"/>
      <c r="H26" s="104"/>
      <c r="I26" s="103"/>
      <c r="J26" s="103"/>
      <c r="K26" s="103"/>
      <c r="L26" s="103"/>
      <c r="M26" s="103"/>
      <c r="N26" s="103"/>
      <c r="O26" s="104"/>
      <c r="P26" s="103"/>
      <c r="Q26" s="103"/>
      <c r="R26" s="106"/>
      <c r="S26" s="103"/>
      <c r="T26" s="73"/>
      <c r="U26" s="73"/>
      <c r="V26" s="104"/>
      <c r="W26" s="73"/>
      <c r="X26" s="164">
        <v>4</v>
      </c>
      <c r="Y26" s="153">
        <v>4</v>
      </c>
      <c r="Z26" s="153">
        <v>12</v>
      </c>
      <c r="AA26" s="153">
        <v>4</v>
      </c>
      <c r="AB26" s="113">
        <v>6</v>
      </c>
      <c r="AC26" s="113">
        <v>4</v>
      </c>
      <c r="AD26" s="113">
        <v>6</v>
      </c>
      <c r="AE26" s="113">
        <v>4</v>
      </c>
      <c r="AF26" s="113">
        <v>4</v>
      </c>
      <c r="AG26" s="113"/>
      <c r="AH26" s="113">
        <v>6</v>
      </c>
      <c r="AI26" s="113">
        <v>4</v>
      </c>
      <c r="AJ26" s="113">
        <v>4</v>
      </c>
      <c r="AK26" s="152"/>
      <c r="AL26" s="113">
        <v>4</v>
      </c>
      <c r="AM26" s="113">
        <v>4</v>
      </c>
      <c r="AN26" s="150">
        <v>4</v>
      </c>
      <c r="AO26" s="150">
        <v>12</v>
      </c>
      <c r="AP26" s="150">
        <v>4</v>
      </c>
      <c r="AQ26" s="149"/>
      <c r="AR26" s="149"/>
      <c r="AS26" s="113"/>
      <c r="AT26" s="113"/>
      <c r="AU26" s="150"/>
      <c r="AV26" s="113"/>
      <c r="AW26" s="113"/>
      <c r="AX26" s="155"/>
      <c r="AY26" s="113"/>
      <c r="AZ26" s="113"/>
      <c r="BA26" s="154"/>
      <c r="BB26" s="150"/>
      <c r="BC26" s="113"/>
      <c r="BD26" s="113"/>
      <c r="BE26" s="128"/>
      <c r="BF26" s="110"/>
      <c r="BG26" s="110"/>
      <c r="BH26" s="123"/>
      <c r="BI26" s="110"/>
      <c r="BJ26" s="110"/>
      <c r="BK26" s="110"/>
      <c r="BL26" s="110"/>
      <c r="BM26" s="110"/>
      <c r="BN26" s="110"/>
      <c r="BO26" s="123"/>
      <c r="BP26" s="110"/>
      <c r="BQ26" s="124"/>
      <c r="BR26" s="121">
        <f t="shared" si="2"/>
        <v>90</v>
      </c>
      <c r="BS26" s="122">
        <f t="shared" si="3"/>
        <v>0</v>
      </c>
      <c r="BT26" s="116" t="s">
        <v>78</v>
      </c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</row>
    <row r="27" spans="1:222" s="64" customFormat="1" ht="27.9" customHeight="1">
      <c r="A27" s="89">
        <v>25</v>
      </c>
      <c r="B27" s="93">
        <v>108</v>
      </c>
      <c r="C27" s="94" t="s">
        <v>12</v>
      </c>
      <c r="D27" s="93" t="s">
        <v>3</v>
      </c>
      <c r="E27" s="95" t="s">
        <v>93</v>
      </c>
      <c r="F27" s="74"/>
      <c r="G27" s="75"/>
      <c r="H27" s="76"/>
      <c r="I27" s="75"/>
      <c r="J27" s="75"/>
      <c r="K27" s="75"/>
      <c r="L27" s="75"/>
      <c r="M27" s="75"/>
      <c r="N27" s="75"/>
      <c r="O27" s="76"/>
      <c r="P27" s="75"/>
      <c r="Q27" s="75"/>
      <c r="R27" s="104"/>
      <c r="S27" s="103"/>
      <c r="T27" s="73"/>
      <c r="U27" s="73"/>
      <c r="V27" s="104"/>
      <c r="W27" s="73"/>
      <c r="X27" s="164">
        <v>4</v>
      </c>
      <c r="Y27" s="153">
        <v>4</v>
      </c>
      <c r="Z27" s="153">
        <v>12</v>
      </c>
      <c r="AA27" s="153">
        <v>4</v>
      </c>
      <c r="AB27" s="153">
        <v>4</v>
      </c>
      <c r="AC27" s="113">
        <v>4</v>
      </c>
      <c r="AD27" s="113">
        <v>4</v>
      </c>
      <c r="AE27" s="113">
        <v>4</v>
      </c>
      <c r="AF27" s="113">
        <v>4</v>
      </c>
      <c r="AG27" s="113">
        <v>12</v>
      </c>
      <c r="AH27" s="113">
        <v>3</v>
      </c>
      <c r="AI27" s="113">
        <v>3</v>
      </c>
      <c r="AJ27" s="113">
        <v>3</v>
      </c>
      <c r="AK27" s="152"/>
      <c r="AL27" s="113">
        <v>3</v>
      </c>
      <c r="AM27" s="113">
        <v>3</v>
      </c>
      <c r="AN27" s="113">
        <v>3</v>
      </c>
      <c r="AO27" s="150">
        <v>12</v>
      </c>
      <c r="AP27" s="150">
        <v>4</v>
      </c>
      <c r="AQ27" s="149"/>
      <c r="AR27" s="149"/>
      <c r="AS27" s="113"/>
      <c r="AT27" s="113"/>
      <c r="AU27" s="150"/>
      <c r="AV27" s="113"/>
      <c r="AW27" s="113"/>
      <c r="AX27" s="155"/>
      <c r="AY27" s="113"/>
      <c r="AZ27" s="113"/>
      <c r="BA27" s="154"/>
      <c r="BB27" s="150"/>
      <c r="BC27" s="113"/>
      <c r="BD27" s="113"/>
      <c r="BE27" s="128"/>
      <c r="BF27" s="110"/>
      <c r="BG27" s="110"/>
      <c r="BH27" s="123"/>
      <c r="BI27" s="110"/>
      <c r="BJ27" s="110"/>
      <c r="BK27" s="110"/>
      <c r="BL27" s="110"/>
      <c r="BM27" s="110"/>
      <c r="BN27" s="110"/>
      <c r="BO27" s="123"/>
      <c r="BP27" s="110"/>
      <c r="BQ27" s="124"/>
      <c r="BR27" s="121">
        <f t="shared" si="2"/>
        <v>90</v>
      </c>
      <c r="BS27" s="122">
        <f t="shared" si="3"/>
        <v>0</v>
      </c>
      <c r="BT27" s="115" t="s">
        <v>83</v>
      </c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</row>
    <row r="28" spans="1:222" s="64" customFormat="1" ht="27.9" customHeight="1">
      <c r="A28" s="89">
        <v>26</v>
      </c>
      <c r="B28" s="93">
        <v>113</v>
      </c>
      <c r="C28" s="94" t="s">
        <v>69</v>
      </c>
      <c r="D28" s="93" t="s">
        <v>5</v>
      </c>
      <c r="E28" s="95" t="s">
        <v>93</v>
      </c>
      <c r="F28" s="74"/>
      <c r="G28" s="75"/>
      <c r="H28" s="76"/>
      <c r="I28" s="75"/>
      <c r="J28" s="75"/>
      <c r="K28" s="75"/>
      <c r="L28" s="75"/>
      <c r="M28" s="75"/>
      <c r="N28" s="75"/>
      <c r="O28" s="76"/>
      <c r="P28" s="75"/>
      <c r="Q28" s="75"/>
      <c r="R28" s="106"/>
      <c r="S28" s="103"/>
      <c r="T28" s="73"/>
      <c r="U28" s="73"/>
      <c r="V28" s="104"/>
      <c r="W28" s="73"/>
      <c r="X28" s="164">
        <v>2</v>
      </c>
      <c r="Y28" s="153">
        <v>2</v>
      </c>
      <c r="Z28" s="153">
        <v>6</v>
      </c>
      <c r="AA28" s="113"/>
      <c r="AB28" s="153">
        <v>2</v>
      </c>
      <c r="AC28" s="113">
        <v>2</v>
      </c>
      <c r="AD28" s="154">
        <v>2</v>
      </c>
      <c r="AE28" s="154">
        <v>2</v>
      </c>
      <c r="AF28" s="153">
        <v>2</v>
      </c>
      <c r="AG28" s="113"/>
      <c r="AH28" s="113">
        <v>2</v>
      </c>
      <c r="AI28" s="153">
        <v>2</v>
      </c>
      <c r="AJ28" s="113">
        <v>2</v>
      </c>
      <c r="AK28" s="152"/>
      <c r="AL28" s="113">
        <v>2</v>
      </c>
      <c r="AM28" s="113">
        <v>2</v>
      </c>
      <c r="AN28" s="150">
        <v>2</v>
      </c>
      <c r="AO28" s="113">
        <v>6</v>
      </c>
      <c r="AP28" s="113">
        <v>2</v>
      </c>
      <c r="AQ28" s="149"/>
      <c r="AR28" s="113"/>
      <c r="AS28" s="113"/>
      <c r="AT28" s="113"/>
      <c r="AU28" s="150"/>
      <c r="AV28" s="113"/>
      <c r="AW28" s="113"/>
      <c r="AX28" s="155"/>
      <c r="AY28" s="113"/>
      <c r="AZ28" s="113"/>
      <c r="BA28" s="154"/>
      <c r="BB28" s="150"/>
      <c r="BC28" s="113"/>
      <c r="BD28" s="113"/>
      <c r="BE28" s="128"/>
      <c r="BF28" s="110"/>
      <c r="BG28" s="110"/>
      <c r="BH28" s="123"/>
      <c r="BI28" s="110"/>
      <c r="BJ28" s="110"/>
      <c r="BK28" s="110"/>
      <c r="BL28" s="110"/>
      <c r="BM28" s="110"/>
      <c r="BN28" s="110"/>
      <c r="BO28" s="123"/>
      <c r="BP28" s="110"/>
      <c r="BQ28" s="124"/>
      <c r="BR28" s="121">
        <f t="shared" si="2"/>
        <v>40</v>
      </c>
      <c r="BS28" s="122">
        <f t="shared" si="3"/>
        <v>0</v>
      </c>
      <c r="BT28" s="115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</row>
    <row r="29" spans="1:222" s="64" customFormat="1" ht="27.9" customHeight="1">
      <c r="A29" s="89">
        <v>27</v>
      </c>
      <c r="B29" s="93">
        <v>117</v>
      </c>
      <c r="C29" s="94" t="s">
        <v>109</v>
      </c>
      <c r="D29" s="93" t="s">
        <v>18</v>
      </c>
      <c r="E29" s="95" t="s">
        <v>93</v>
      </c>
      <c r="F29" s="74"/>
      <c r="G29" s="75"/>
      <c r="H29" s="76"/>
      <c r="I29" s="75"/>
      <c r="J29" s="75"/>
      <c r="K29" s="75"/>
      <c r="L29" s="75"/>
      <c r="M29" s="75"/>
      <c r="N29" s="75"/>
      <c r="O29" s="76"/>
      <c r="P29" s="75"/>
      <c r="Q29" s="75"/>
      <c r="R29" s="108"/>
      <c r="S29" s="103"/>
      <c r="T29" s="73"/>
      <c r="U29" s="73"/>
      <c r="V29" s="104"/>
      <c r="W29" s="73"/>
      <c r="X29" s="164">
        <v>2</v>
      </c>
      <c r="Y29" s="113">
        <v>2</v>
      </c>
      <c r="Z29" s="153"/>
      <c r="AA29" s="113"/>
      <c r="AB29" s="153">
        <v>2</v>
      </c>
      <c r="AC29" s="113">
        <v>2</v>
      </c>
      <c r="AD29" s="153">
        <v>2</v>
      </c>
      <c r="AE29" s="154">
        <v>2</v>
      </c>
      <c r="AF29" s="153">
        <v>2</v>
      </c>
      <c r="AG29" s="113"/>
      <c r="AH29" s="159" t="s">
        <v>94</v>
      </c>
      <c r="AI29" s="159" t="s">
        <v>94</v>
      </c>
      <c r="AJ29" s="165" t="s">
        <v>134</v>
      </c>
      <c r="AK29" s="152"/>
      <c r="AL29" s="153">
        <v>2</v>
      </c>
      <c r="AM29" s="113">
        <v>2</v>
      </c>
      <c r="AN29" s="113">
        <v>2</v>
      </c>
      <c r="AO29" s="113"/>
      <c r="AP29" s="113">
        <v>2</v>
      </c>
      <c r="AQ29" s="149"/>
      <c r="AR29" s="149"/>
      <c r="AS29" s="153"/>
      <c r="AT29" s="113"/>
      <c r="AU29" s="150"/>
      <c r="AV29" s="153"/>
      <c r="AW29" s="113"/>
      <c r="AX29" s="155"/>
      <c r="AY29" s="113"/>
      <c r="AZ29" s="153"/>
      <c r="BA29" s="154"/>
      <c r="BB29" s="155"/>
      <c r="BC29" s="155"/>
      <c r="BD29" s="113"/>
      <c r="BE29" s="128"/>
      <c r="BF29" s="110"/>
      <c r="BG29" s="110"/>
      <c r="BH29" s="123"/>
      <c r="BI29" s="110"/>
      <c r="BJ29" s="110"/>
      <c r="BK29" s="110"/>
      <c r="BL29" s="110"/>
      <c r="BM29" s="110"/>
      <c r="BN29" s="110"/>
      <c r="BO29" s="123"/>
      <c r="BP29" s="110"/>
      <c r="BQ29" s="124"/>
      <c r="BR29" s="121">
        <f t="shared" si="2"/>
        <v>22</v>
      </c>
      <c r="BS29" s="122">
        <f t="shared" si="3"/>
        <v>1</v>
      </c>
      <c r="BT29" s="130" t="s">
        <v>135</v>
      </c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</row>
    <row r="30" spans="1:222" s="64" customFormat="1" ht="27.9" customHeight="1">
      <c r="A30" s="89">
        <v>28</v>
      </c>
      <c r="B30" s="93">
        <v>124</v>
      </c>
      <c r="C30" s="94" t="s">
        <v>110</v>
      </c>
      <c r="D30" s="99" t="s">
        <v>8</v>
      </c>
      <c r="E30" s="95" t="s">
        <v>93</v>
      </c>
      <c r="F30" s="74"/>
      <c r="G30" s="75"/>
      <c r="H30" s="76"/>
      <c r="I30" s="75"/>
      <c r="J30" s="75"/>
      <c r="K30" s="75"/>
      <c r="L30" s="75"/>
      <c r="M30" s="75"/>
      <c r="N30" s="75"/>
      <c r="O30" s="76"/>
      <c r="P30" s="75"/>
      <c r="Q30" s="75"/>
      <c r="R30" s="108"/>
      <c r="S30" s="103"/>
      <c r="T30" s="73"/>
      <c r="U30" s="113"/>
      <c r="V30" s="113"/>
      <c r="W30" s="113"/>
      <c r="X30" s="164">
        <v>2</v>
      </c>
      <c r="Y30" s="113">
        <v>2</v>
      </c>
      <c r="Z30" s="153"/>
      <c r="AA30" s="113"/>
      <c r="AB30" s="165" t="s">
        <v>134</v>
      </c>
      <c r="AC30" s="113">
        <v>2</v>
      </c>
      <c r="AD30" s="113">
        <v>2</v>
      </c>
      <c r="AE30" s="113">
        <v>2</v>
      </c>
      <c r="AF30" s="113">
        <v>2</v>
      </c>
      <c r="AG30" s="153"/>
      <c r="AH30" s="113">
        <v>2</v>
      </c>
      <c r="AI30" s="153">
        <v>2</v>
      </c>
      <c r="AJ30" s="113">
        <v>2</v>
      </c>
      <c r="AK30" s="152"/>
      <c r="AL30" s="165" t="s">
        <v>134</v>
      </c>
      <c r="AM30" s="113">
        <v>3</v>
      </c>
      <c r="AN30" s="113">
        <v>2</v>
      </c>
      <c r="AO30" s="113"/>
      <c r="AP30" s="113">
        <v>2</v>
      </c>
      <c r="AQ30" s="113"/>
      <c r="AR30" s="153"/>
      <c r="AS30" s="113"/>
      <c r="AT30" s="153"/>
      <c r="AU30" s="150"/>
      <c r="AV30" s="150"/>
      <c r="AW30" s="113"/>
      <c r="AX30" s="153"/>
      <c r="AY30" s="113"/>
      <c r="AZ30" s="113"/>
      <c r="BA30" s="154"/>
      <c r="BB30" s="153"/>
      <c r="BC30" s="155"/>
      <c r="BD30" s="113"/>
      <c r="BE30" s="128"/>
      <c r="BF30" s="110"/>
      <c r="BG30" s="110"/>
      <c r="BH30" s="123"/>
      <c r="BI30" s="110"/>
      <c r="BJ30" s="110"/>
      <c r="BK30" s="110"/>
      <c r="BL30" s="110"/>
      <c r="BM30" s="110"/>
      <c r="BN30" s="110"/>
      <c r="BO30" s="123"/>
      <c r="BP30" s="110"/>
      <c r="BQ30" s="124"/>
      <c r="BR30" s="121">
        <f t="shared" si="2"/>
        <v>25</v>
      </c>
      <c r="BS30" s="122">
        <f t="shared" si="3"/>
        <v>2</v>
      </c>
      <c r="BT30" s="116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</row>
    <row r="31" spans="1:222" s="64" customFormat="1" ht="27.9" customHeight="1">
      <c r="A31" s="89">
        <v>29</v>
      </c>
      <c r="B31" s="99">
        <v>125</v>
      </c>
      <c r="C31" s="100" t="s">
        <v>66</v>
      </c>
      <c r="D31" s="99" t="s">
        <v>8</v>
      </c>
      <c r="E31" s="95" t="s">
        <v>93</v>
      </c>
      <c r="F31" s="102"/>
      <c r="G31" s="103"/>
      <c r="H31" s="104"/>
      <c r="I31" s="103"/>
      <c r="J31" s="103"/>
      <c r="K31" s="103"/>
      <c r="L31" s="103"/>
      <c r="M31" s="103"/>
      <c r="N31" s="103"/>
      <c r="O31" s="104"/>
      <c r="P31" s="103"/>
      <c r="Q31" s="103"/>
      <c r="R31" s="104"/>
      <c r="S31" s="103"/>
      <c r="T31" s="73"/>
      <c r="U31" s="73"/>
      <c r="V31" s="73"/>
      <c r="W31" s="73"/>
      <c r="X31" s="164">
        <v>4</v>
      </c>
      <c r="Y31" s="153">
        <v>4</v>
      </c>
      <c r="Z31" s="153">
        <v>12</v>
      </c>
      <c r="AA31" s="113">
        <v>4</v>
      </c>
      <c r="AB31" s="113">
        <v>4</v>
      </c>
      <c r="AC31" s="113">
        <v>4</v>
      </c>
      <c r="AD31" s="113">
        <v>4</v>
      </c>
      <c r="AE31" s="113">
        <v>4</v>
      </c>
      <c r="AF31" s="113">
        <v>4</v>
      </c>
      <c r="AG31" s="154">
        <v>12</v>
      </c>
      <c r="AH31" s="154">
        <v>3</v>
      </c>
      <c r="AI31" s="154">
        <v>3</v>
      </c>
      <c r="AJ31" s="154">
        <v>3</v>
      </c>
      <c r="AK31" s="152"/>
      <c r="AL31" s="113">
        <v>3</v>
      </c>
      <c r="AM31" s="113">
        <v>3</v>
      </c>
      <c r="AN31" s="113">
        <v>3</v>
      </c>
      <c r="AO31" s="113">
        <v>12</v>
      </c>
      <c r="AP31" s="113">
        <v>4</v>
      </c>
      <c r="AQ31" s="149"/>
      <c r="AR31" s="113"/>
      <c r="AS31" s="113"/>
      <c r="AT31" s="113"/>
      <c r="AU31" s="150"/>
      <c r="AV31" s="150"/>
      <c r="AW31" s="113"/>
      <c r="AX31" s="155"/>
      <c r="AY31" s="113"/>
      <c r="AZ31" s="113"/>
      <c r="BA31" s="154"/>
      <c r="BB31" s="150"/>
      <c r="BC31" s="113"/>
      <c r="BD31" s="113"/>
      <c r="BE31" s="128"/>
      <c r="BF31" s="110"/>
      <c r="BG31" s="110"/>
      <c r="BH31" s="123"/>
      <c r="BI31" s="110"/>
      <c r="BJ31" s="110"/>
      <c r="BK31" s="110"/>
      <c r="BL31" s="110"/>
      <c r="BM31" s="110"/>
      <c r="BN31" s="110"/>
      <c r="BO31" s="123"/>
      <c r="BP31" s="110"/>
      <c r="BQ31" s="124"/>
      <c r="BR31" s="121">
        <f t="shared" si="2"/>
        <v>90</v>
      </c>
      <c r="BS31" s="122">
        <f t="shared" si="3"/>
        <v>0</v>
      </c>
      <c r="BT31" s="115" t="s">
        <v>83</v>
      </c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61"/>
      <c r="FJ31" s="61"/>
      <c r="FK31" s="61"/>
      <c r="FL31" s="61"/>
      <c r="FM31" s="61"/>
      <c r="FN31" s="61"/>
      <c r="FO31" s="61"/>
      <c r="FP31" s="61"/>
      <c r="FQ31" s="61"/>
      <c r="FR31" s="61"/>
      <c r="FS31" s="61"/>
      <c r="FT31" s="61"/>
      <c r="FU31" s="61"/>
      <c r="FV31" s="61"/>
      <c r="FW31" s="61"/>
      <c r="FX31" s="61"/>
      <c r="FY31" s="61"/>
      <c r="FZ31" s="61"/>
      <c r="GA31" s="61"/>
      <c r="GB31" s="61"/>
      <c r="GC31" s="61"/>
      <c r="GD31" s="61"/>
      <c r="GE31" s="61"/>
      <c r="GF31" s="61"/>
      <c r="GG31" s="61"/>
      <c r="GH31" s="61"/>
      <c r="GI31" s="61"/>
      <c r="GJ31" s="61"/>
      <c r="GK31" s="61"/>
      <c r="GL31" s="61"/>
      <c r="GM31" s="61"/>
      <c r="GN31" s="61"/>
      <c r="GO31" s="61"/>
      <c r="GP31" s="61"/>
      <c r="GQ31" s="61"/>
      <c r="GR31" s="61"/>
      <c r="GS31" s="61"/>
      <c r="GT31" s="61"/>
      <c r="GU31" s="61"/>
      <c r="GV31" s="61"/>
      <c r="GW31" s="61"/>
      <c r="GX31" s="61"/>
      <c r="GY31" s="61"/>
      <c r="GZ31" s="61"/>
      <c r="HA31" s="61"/>
      <c r="HB31" s="61"/>
      <c r="HC31" s="61"/>
      <c r="HD31" s="61"/>
      <c r="HE31" s="61"/>
      <c r="HF31" s="61"/>
      <c r="HG31" s="61"/>
      <c r="HH31" s="61"/>
      <c r="HI31" s="61"/>
      <c r="HJ31" s="61"/>
      <c r="HK31" s="61"/>
      <c r="HL31" s="61"/>
      <c r="HM31" s="61"/>
      <c r="HN31" s="61"/>
    </row>
    <row r="32" spans="1:222" s="64" customFormat="1" ht="27.9" customHeight="1">
      <c r="A32" s="89">
        <v>30</v>
      </c>
      <c r="B32" s="99">
        <v>128</v>
      </c>
      <c r="C32" s="100" t="s">
        <v>114</v>
      </c>
      <c r="D32" s="99" t="s">
        <v>115</v>
      </c>
      <c r="E32" s="95" t="s">
        <v>93</v>
      </c>
      <c r="F32" s="102"/>
      <c r="G32" s="103"/>
      <c r="H32" s="104"/>
      <c r="I32" s="103"/>
      <c r="J32" s="103"/>
      <c r="K32" s="103"/>
      <c r="L32" s="103"/>
      <c r="M32" s="103"/>
      <c r="N32" s="103"/>
      <c r="O32" s="104"/>
      <c r="P32" s="103"/>
      <c r="Q32" s="103"/>
      <c r="R32" s="108"/>
      <c r="S32" s="103"/>
      <c r="T32" s="73"/>
      <c r="U32" s="73"/>
      <c r="V32" s="73"/>
      <c r="W32" s="73"/>
      <c r="X32" s="164">
        <v>2</v>
      </c>
      <c r="Y32" s="153">
        <v>2</v>
      </c>
      <c r="Z32" s="153">
        <v>6</v>
      </c>
      <c r="AA32" s="113"/>
      <c r="AB32" s="113">
        <v>2</v>
      </c>
      <c r="AC32" s="113">
        <v>2</v>
      </c>
      <c r="AD32" s="113">
        <v>2</v>
      </c>
      <c r="AE32" s="154">
        <v>2</v>
      </c>
      <c r="AF32" s="154">
        <v>2</v>
      </c>
      <c r="AG32" s="154">
        <v>6</v>
      </c>
      <c r="AH32" s="154">
        <v>2</v>
      </c>
      <c r="AI32" s="153">
        <v>2</v>
      </c>
      <c r="AJ32" s="113">
        <v>2</v>
      </c>
      <c r="AK32" s="152"/>
      <c r="AL32" s="153">
        <v>2</v>
      </c>
      <c r="AM32" s="153">
        <v>2</v>
      </c>
      <c r="AN32" s="150">
        <v>2</v>
      </c>
      <c r="AO32" s="113">
        <v>6</v>
      </c>
      <c r="AP32" s="153">
        <v>2</v>
      </c>
      <c r="AQ32" s="149"/>
      <c r="AR32" s="113"/>
      <c r="AS32" s="113"/>
      <c r="AT32" s="113"/>
      <c r="AU32" s="150"/>
      <c r="AV32" s="150"/>
      <c r="AW32" s="113"/>
      <c r="AX32" s="155"/>
      <c r="AY32" s="113"/>
      <c r="AZ32" s="113"/>
      <c r="BA32" s="154"/>
      <c r="BB32" s="150"/>
      <c r="BC32" s="113"/>
      <c r="BD32" s="113"/>
      <c r="BE32" s="128"/>
      <c r="BF32" s="110"/>
      <c r="BG32" s="110"/>
      <c r="BH32" s="123"/>
      <c r="BI32" s="110"/>
      <c r="BJ32" s="110"/>
      <c r="BK32" s="110"/>
      <c r="BL32" s="110"/>
      <c r="BM32" s="110"/>
      <c r="BN32" s="110"/>
      <c r="BO32" s="123"/>
      <c r="BP32" s="110"/>
      <c r="BQ32" s="124"/>
      <c r="BR32" s="121">
        <f t="shared" ref="BR32" si="12">SUM(R32:BP32)</f>
        <v>46</v>
      </c>
      <c r="BS32" s="122">
        <f t="shared" ref="BS32" si="13">COUNTIF(F32:BP32,"A")</f>
        <v>0</v>
      </c>
      <c r="BT32" s="136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61"/>
      <c r="EO32" s="61"/>
      <c r="EP32" s="61"/>
      <c r="EQ32" s="61"/>
      <c r="ER32" s="61"/>
      <c r="ES32" s="61"/>
      <c r="ET32" s="61"/>
      <c r="EU32" s="61"/>
      <c r="EV32" s="61"/>
      <c r="EW32" s="61"/>
      <c r="EX32" s="61"/>
      <c r="EY32" s="61"/>
      <c r="EZ32" s="61"/>
      <c r="FA32" s="61"/>
      <c r="FB32" s="61"/>
      <c r="FC32" s="61"/>
      <c r="FD32" s="61"/>
      <c r="FE32" s="61"/>
      <c r="FF32" s="61"/>
      <c r="FG32" s="61"/>
      <c r="FH32" s="61"/>
      <c r="FI32" s="61"/>
      <c r="FJ32" s="61"/>
      <c r="FK32" s="61"/>
      <c r="FL32" s="61"/>
      <c r="FM32" s="61"/>
      <c r="FN32" s="61"/>
      <c r="FO32" s="61"/>
      <c r="FP32" s="61"/>
      <c r="FQ32" s="61"/>
      <c r="FR32" s="61"/>
      <c r="FS32" s="61"/>
      <c r="FT32" s="61"/>
      <c r="FU32" s="61"/>
      <c r="FV32" s="61"/>
      <c r="FW32" s="61"/>
      <c r="FX32" s="61"/>
      <c r="FY32" s="61"/>
      <c r="FZ32" s="61"/>
      <c r="GA32" s="61"/>
      <c r="GB32" s="61"/>
      <c r="GC32" s="61"/>
      <c r="GD32" s="61"/>
      <c r="GE32" s="61"/>
      <c r="GF32" s="61"/>
      <c r="GG32" s="61"/>
      <c r="GH32" s="61"/>
      <c r="GI32" s="61"/>
      <c r="GJ32" s="61"/>
      <c r="GK32" s="61"/>
      <c r="GL32" s="61"/>
      <c r="GM32" s="61"/>
      <c r="GN32" s="61"/>
      <c r="GO32" s="61"/>
      <c r="GP32" s="61"/>
      <c r="GQ32" s="61"/>
      <c r="GR32" s="61"/>
      <c r="GS32" s="61"/>
      <c r="GT32" s="61"/>
      <c r="GU32" s="61"/>
      <c r="GV32" s="61"/>
      <c r="GW32" s="61"/>
      <c r="GX32" s="61"/>
      <c r="GY32" s="61"/>
      <c r="GZ32" s="61"/>
      <c r="HA32" s="61"/>
      <c r="HB32" s="61"/>
      <c r="HC32" s="61"/>
      <c r="HD32" s="61"/>
      <c r="HE32" s="61"/>
      <c r="HF32" s="61"/>
      <c r="HG32" s="61"/>
      <c r="HH32" s="61"/>
      <c r="HI32" s="61"/>
      <c r="HJ32" s="61"/>
      <c r="HK32" s="61"/>
      <c r="HL32" s="61"/>
      <c r="HM32" s="61"/>
      <c r="HN32" s="61"/>
    </row>
    <row r="33" spans="1:222" s="64" customFormat="1" ht="27.9" customHeight="1">
      <c r="A33" s="89">
        <v>31</v>
      </c>
      <c r="B33" s="93">
        <v>133</v>
      </c>
      <c r="C33" s="94" t="s">
        <v>80</v>
      </c>
      <c r="D33" s="93" t="s">
        <v>4</v>
      </c>
      <c r="E33" s="95" t="s">
        <v>93</v>
      </c>
      <c r="F33" s="74"/>
      <c r="G33" s="75"/>
      <c r="H33" s="76"/>
      <c r="I33" s="75"/>
      <c r="J33" s="75"/>
      <c r="K33" s="75"/>
      <c r="L33" s="75"/>
      <c r="M33" s="75"/>
      <c r="N33" s="75"/>
      <c r="O33" s="76"/>
      <c r="P33" s="75"/>
      <c r="Q33" s="75"/>
      <c r="R33" s="106"/>
      <c r="S33" s="103"/>
      <c r="T33" s="73"/>
      <c r="U33" s="73"/>
      <c r="V33" s="73"/>
      <c r="W33" s="73"/>
      <c r="X33" s="164">
        <v>2</v>
      </c>
      <c r="Y33" s="153">
        <v>2</v>
      </c>
      <c r="Z33" s="153">
        <v>6</v>
      </c>
      <c r="AA33" s="153"/>
      <c r="AB33" s="153">
        <v>2</v>
      </c>
      <c r="AC33" s="113">
        <v>2</v>
      </c>
      <c r="AD33" s="113">
        <v>2</v>
      </c>
      <c r="AE33" s="113">
        <v>2</v>
      </c>
      <c r="AF33" s="113">
        <v>2</v>
      </c>
      <c r="AG33" s="113">
        <v>6</v>
      </c>
      <c r="AH33" s="113">
        <v>2</v>
      </c>
      <c r="AI33" s="153">
        <v>2</v>
      </c>
      <c r="AJ33" s="113">
        <v>2</v>
      </c>
      <c r="AK33" s="152"/>
      <c r="AL33" s="153">
        <v>2</v>
      </c>
      <c r="AM33" s="153">
        <v>2</v>
      </c>
      <c r="AN33" s="154">
        <v>2</v>
      </c>
      <c r="AO33" s="154">
        <v>6</v>
      </c>
      <c r="AP33" s="154">
        <v>2</v>
      </c>
      <c r="AQ33" s="154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28"/>
      <c r="BF33" s="110"/>
      <c r="BG33" s="110"/>
      <c r="BH33" s="123"/>
      <c r="BI33" s="110"/>
      <c r="BJ33" s="110"/>
      <c r="BK33" s="110"/>
      <c r="BL33" s="110"/>
      <c r="BM33" s="110"/>
      <c r="BN33" s="110"/>
      <c r="BO33" s="123"/>
      <c r="BP33" s="110"/>
      <c r="BQ33" s="124"/>
      <c r="BR33" s="121">
        <f t="shared" si="2"/>
        <v>46</v>
      </c>
      <c r="BS33" s="122">
        <f t="shared" si="3"/>
        <v>0</v>
      </c>
      <c r="BT33" s="115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  <c r="EV33" s="61"/>
      <c r="EW33" s="61"/>
      <c r="EX33" s="61"/>
      <c r="EY33" s="61"/>
      <c r="EZ33" s="61"/>
      <c r="FA33" s="61"/>
      <c r="FB33" s="61"/>
      <c r="FC33" s="61"/>
      <c r="FD33" s="61"/>
      <c r="FE33" s="61"/>
      <c r="FF33" s="61"/>
      <c r="FG33" s="61"/>
      <c r="FH33" s="61"/>
      <c r="FI33" s="61"/>
      <c r="FJ33" s="61"/>
      <c r="FK33" s="61"/>
      <c r="FL33" s="61"/>
      <c r="FM33" s="61"/>
      <c r="FN33" s="61"/>
      <c r="FO33" s="61"/>
      <c r="FP33" s="61"/>
      <c r="FQ33" s="61"/>
      <c r="FR33" s="61"/>
      <c r="FS33" s="61"/>
      <c r="FT33" s="61"/>
      <c r="FU33" s="61"/>
      <c r="FV33" s="61"/>
      <c r="FW33" s="61"/>
      <c r="FX33" s="61"/>
      <c r="FY33" s="61"/>
      <c r="FZ33" s="61"/>
      <c r="GA33" s="61"/>
      <c r="GB33" s="61"/>
      <c r="GC33" s="61"/>
      <c r="GD33" s="61"/>
      <c r="GE33" s="61"/>
      <c r="GF33" s="61"/>
      <c r="GG33" s="61"/>
      <c r="GH33" s="61"/>
      <c r="GI33" s="61"/>
      <c r="GJ33" s="61"/>
      <c r="GK33" s="61"/>
      <c r="GL33" s="61"/>
      <c r="GM33" s="61"/>
      <c r="GN33" s="61"/>
      <c r="GO33" s="61"/>
      <c r="GP33" s="61"/>
      <c r="GQ33" s="61"/>
      <c r="GR33" s="61"/>
      <c r="GS33" s="61"/>
      <c r="GT33" s="61"/>
      <c r="GU33" s="61"/>
      <c r="GV33" s="61"/>
      <c r="GW33" s="61"/>
      <c r="GX33" s="61"/>
      <c r="GY33" s="61"/>
      <c r="GZ33" s="61"/>
      <c r="HA33" s="61"/>
      <c r="HB33" s="61"/>
      <c r="HC33" s="61"/>
      <c r="HD33" s="61"/>
      <c r="HE33" s="61"/>
      <c r="HF33" s="61"/>
      <c r="HG33" s="61"/>
      <c r="HH33" s="61"/>
      <c r="HI33" s="61"/>
      <c r="HJ33" s="61"/>
      <c r="HK33" s="61"/>
      <c r="HL33" s="61"/>
      <c r="HM33" s="61"/>
      <c r="HN33" s="61"/>
    </row>
    <row r="34" spans="1:222" s="64" customFormat="1" ht="27.9" customHeight="1">
      <c r="A34" s="89">
        <v>32</v>
      </c>
      <c r="B34" s="93">
        <v>135</v>
      </c>
      <c r="C34" s="94" t="s">
        <v>62</v>
      </c>
      <c r="D34" s="93" t="s">
        <v>4</v>
      </c>
      <c r="E34" s="95" t="s">
        <v>93</v>
      </c>
      <c r="F34" s="74"/>
      <c r="G34" s="75"/>
      <c r="H34" s="76"/>
      <c r="I34" s="75"/>
      <c r="J34" s="75"/>
      <c r="K34" s="75"/>
      <c r="L34" s="75"/>
      <c r="M34" s="75"/>
      <c r="N34" s="75"/>
      <c r="O34" s="76"/>
      <c r="P34" s="75"/>
      <c r="Q34" s="75"/>
      <c r="R34" s="104"/>
      <c r="S34" s="103"/>
      <c r="T34" s="73"/>
      <c r="U34" s="73"/>
      <c r="V34" s="73"/>
      <c r="W34" s="73"/>
      <c r="X34" s="164">
        <v>2</v>
      </c>
      <c r="Y34" s="153">
        <v>2</v>
      </c>
      <c r="Z34" s="153"/>
      <c r="AA34" s="113"/>
      <c r="AB34" s="113">
        <v>2</v>
      </c>
      <c r="AC34" s="113">
        <v>2</v>
      </c>
      <c r="AD34" s="113">
        <v>2</v>
      </c>
      <c r="AE34" s="154">
        <v>2</v>
      </c>
      <c r="AF34" s="153">
        <v>2</v>
      </c>
      <c r="AG34" s="154"/>
      <c r="AH34" s="154">
        <v>2</v>
      </c>
      <c r="AI34" s="153">
        <v>2</v>
      </c>
      <c r="AJ34" s="113">
        <v>2</v>
      </c>
      <c r="AK34" s="152"/>
      <c r="AL34" s="113">
        <v>2</v>
      </c>
      <c r="AM34" s="153">
        <v>2</v>
      </c>
      <c r="AN34" s="165" t="s">
        <v>134</v>
      </c>
      <c r="AO34" s="153">
        <v>6</v>
      </c>
      <c r="AP34" s="113">
        <v>2</v>
      </c>
      <c r="AQ34" s="149"/>
      <c r="AR34" s="113"/>
      <c r="AS34" s="113"/>
      <c r="AT34" s="113"/>
      <c r="AU34" s="150"/>
      <c r="AV34" s="150"/>
      <c r="AW34" s="113"/>
      <c r="AX34" s="155"/>
      <c r="AY34" s="113"/>
      <c r="AZ34" s="113"/>
      <c r="BA34" s="154"/>
      <c r="BB34" s="150"/>
      <c r="BC34" s="113"/>
      <c r="BD34" s="113"/>
      <c r="BE34" s="128"/>
      <c r="BF34" s="110"/>
      <c r="BG34" s="110"/>
      <c r="BH34" s="123"/>
      <c r="BI34" s="110"/>
      <c r="BJ34" s="110"/>
      <c r="BK34" s="110"/>
      <c r="BL34" s="110"/>
      <c r="BM34" s="110"/>
      <c r="BN34" s="110"/>
      <c r="BO34" s="123"/>
      <c r="BP34" s="110"/>
      <c r="BQ34" s="124"/>
      <c r="BR34" s="121">
        <f t="shared" si="2"/>
        <v>32</v>
      </c>
      <c r="BS34" s="122">
        <f t="shared" si="3"/>
        <v>1</v>
      </c>
      <c r="BT34" s="115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  <c r="EV34" s="61"/>
      <c r="EW34" s="61"/>
      <c r="EX34" s="61"/>
      <c r="EY34" s="61"/>
      <c r="EZ34" s="61"/>
      <c r="FA34" s="61"/>
      <c r="FB34" s="61"/>
      <c r="FC34" s="61"/>
      <c r="FD34" s="61"/>
      <c r="FE34" s="61"/>
      <c r="FF34" s="61"/>
      <c r="FG34" s="61"/>
      <c r="FH34" s="61"/>
      <c r="FI34" s="61"/>
      <c r="FJ34" s="61"/>
      <c r="FK34" s="61"/>
      <c r="FL34" s="61"/>
      <c r="FM34" s="61"/>
      <c r="FN34" s="61"/>
      <c r="FO34" s="61"/>
      <c r="FP34" s="61"/>
      <c r="FQ34" s="61"/>
      <c r="FR34" s="61"/>
      <c r="FS34" s="61"/>
      <c r="FT34" s="61"/>
      <c r="FU34" s="61"/>
      <c r="FV34" s="61"/>
      <c r="FW34" s="61"/>
      <c r="FX34" s="61"/>
      <c r="FY34" s="61"/>
      <c r="FZ34" s="61"/>
      <c r="GA34" s="61"/>
      <c r="GB34" s="61"/>
      <c r="GC34" s="61"/>
      <c r="GD34" s="61"/>
      <c r="GE34" s="61"/>
      <c r="GF34" s="61"/>
      <c r="GG34" s="61"/>
      <c r="GH34" s="61"/>
      <c r="GI34" s="61"/>
      <c r="GJ34" s="61"/>
      <c r="GK34" s="61"/>
      <c r="GL34" s="61"/>
      <c r="GM34" s="61"/>
      <c r="GN34" s="61"/>
      <c r="GO34" s="61"/>
      <c r="GP34" s="61"/>
      <c r="GQ34" s="61"/>
      <c r="GR34" s="61"/>
      <c r="GS34" s="61"/>
      <c r="GT34" s="61"/>
      <c r="GU34" s="61"/>
      <c r="GV34" s="61"/>
      <c r="GW34" s="61"/>
      <c r="GX34" s="61"/>
      <c r="GY34" s="61"/>
      <c r="GZ34" s="61"/>
      <c r="HA34" s="61"/>
      <c r="HB34" s="61"/>
      <c r="HC34" s="61"/>
      <c r="HD34" s="61"/>
      <c r="HE34" s="61"/>
      <c r="HF34" s="61"/>
      <c r="HG34" s="61"/>
      <c r="HH34" s="61"/>
      <c r="HI34" s="61"/>
      <c r="HJ34" s="61"/>
      <c r="HK34" s="61"/>
      <c r="HL34" s="61"/>
      <c r="HM34" s="61"/>
      <c r="HN34" s="61"/>
    </row>
    <row r="35" spans="1:222" s="64" customFormat="1" ht="27.9" customHeight="1">
      <c r="A35" s="89">
        <v>33</v>
      </c>
      <c r="B35" s="99">
        <v>141</v>
      </c>
      <c r="C35" s="100" t="s">
        <v>53</v>
      </c>
      <c r="D35" s="99" t="s">
        <v>8</v>
      </c>
      <c r="E35" s="95" t="s">
        <v>93</v>
      </c>
      <c r="F35" s="102"/>
      <c r="G35" s="103"/>
      <c r="H35" s="104"/>
      <c r="I35" s="103"/>
      <c r="J35" s="103"/>
      <c r="K35" s="103"/>
      <c r="L35" s="103"/>
      <c r="M35" s="103"/>
      <c r="N35" s="103"/>
      <c r="O35" s="104"/>
      <c r="P35" s="103"/>
      <c r="Q35" s="103"/>
      <c r="R35" s="106"/>
      <c r="S35" s="103"/>
      <c r="T35" s="73"/>
      <c r="U35" s="73"/>
      <c r="V35" s="73"/>
      <c r="W35" s="73"/>
      <c r="X35" s="164">
        <v>4</v>
      </c>
      <c r="Y35" s="153">
        <v>6</v>
      </c>
      <c r="Z35" s="153">
        <v>12</v>
      </c>
      <c r="AA35" s="113">
        <v>4</v>
      </c>
      <c r="AB35" s="153">
        <v>4</v>
      </c>
      <c r="AC35" s="113">
        <v>4</v>
      </c>
      <c r="AD35" s="113">
        <v>4</v>
      </c>
      <c r="AE35" s="154">
        <v>4</v>
      </c>
      <c r="AF35" s="154">
        <v>4</v>
      </c>
      <c r="AG35" s="154">
        <v>12</v>
      </c>
      <c r="AH35" s="154">
        <v>6</v>
      </c>
      <c r="AI35" s="154">
        <v>4</v>
      </c>
      <c r="AJ35" s="113">
        <v>4</v>
      </c>
      <c r="AK35" s="152"/>
      <c r="AL35" s="113">
        <v>4</v>
      </c>
      <c r="AM35" s="113">
        <v>4</v>
      </c>
      <c r="AN35" s="150">
        <v>4</v>
      </c>
      <c r="AO35" s="113">
        <v>12</v>
      </c>
      <c r="AP35" s="113">
        <v>4</v>
      </c>
      <c r="AQ35" s="149"/>
      <c r="AR35" s="113"/>
      <c r="AS35" s="113"/>
      <c r="AT35" s="113"/>
      <c r="AU35" s="150"/>
      <c r="AV35" s="150"/>
      <c r="AW35" s="113"/>
      <c r="AX35" s="155"/>
      <c r="AY35" s="155"/>
      <c r="AZ35" s="113"/>
      <c r="BA35" s="154"/>
      <c r="BB35" s="150"/>
      <c r="BC35" s="113"/>
      <c r="BD35" s="113"/>
      <c r="BE35" s="128"/>
      <c r="BF35" s="110"/>
      <c r="BG35" s="110"/>
      <c r="BH35" s="123"/>
      <c r="BI35" s="110"/>
      <c r="BJ35" s="110"/>
      <c r="BK35" s="110"/>
      <c r="BL35" s="110"/>
      <c r="BM35" s="110"/>
      <c r="BN35" s="110"/>
      <c r="BO35" s="123"/>
      <c r="BP35" s="110"/>
      <c r="BQ35" s="124"/>
      <c r="BR35" s="121">
        <f t="shared" si="2"/>
        <v>100</v>
      </c>
      <c r="BS35" s="122">
        <f t="shared" si="3"/>
        <v>0</v>
      </c>
      <c r="BT35" s="116" t="s">
        <v>89</v>
      </c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61"/>
      <c r="EO35" s="61"/>
      <c r="EP35" s="61"/>
      <c r="EQ35" s="61"/>
      <c r="ER35" s="61"/>
      <c r="ES35" s="61"/>
      <c r="ET35" s="61"/>
      <c r="EU35" s="61"/>
      <c r="EV35" s="61"/>
      <c r="EW35" s="61"/>
      <c r="EX35" s="61"/>
      <c r="EY35" s="61"/>
      <c r="EZ35" s="61"/>
      <c r="FA35" s="61"/>
      <c r="FB35" s="61"/>
      <c r="FC35" s="61"/>
      <c r="FD35" s="61"/>
      <c r="FE35" s="61"/>
      <c r="FF35" s="61"/>
      <c r="FG35" s="61"/>
      <c r="FH35" s="61"/>
      <c r="FI35" s="61"/>
      <c r="FJ35" s="61"/>
      <c r="FK35" s="61"/>
      <c r="FL35" s="61"/>
      <c r="FM35" s="61"/>
      <c r="FN35" s="61"/>
      <c r="FO35" s="61"/>
      <c r="FP35" s="61"/>
      <c r="FQ35" s="61"/>
      <c r="FR35" s="61"/>
      <c r="FS35" s="61"/>
      <c r="FT35" s="61"/>
      <c r="FU35" s="61"/>
      <c r="FV35" s="61"/>
      <c r="FW35" s="61"/>
      <c r="FX35" s="61"/>
      <c r="FY35" s="61"/>
      <c r="FZ35" s="61"/>
      <c r="GA35" s="61"/>
      <c r="GB35" s="61"/>
      <c r="GC35" s="61"/>
      <c r="GD35" s="61"/>
      <c r="GE35" s="61"/>
      <c r="GF35" s="61"/>
      <c r="GG35" s="61"/>
      <c r="GH35" s="61"/>
      <c r="GI35" s="61"/>
      <c r="GJ35" s="61"/>
      <c r="GK35" s="61"/>
      <c r="GL35" s="61"/>
      <c r="GM35" s="61"/>
      <c r="GN35" s="61"/>
      <c r="GO35" s="61"/>
      <c r="GP35" s="61"/>
      <c r="GQ35" s="61"/>
      <c r="GR35" s="61"/>
      <c r="GS35" s="61"/>
      <c r="GT35" s="61"/>
      <c r="GU35" s="61"/>
      <c r="GV35" s="61"/>
      <c r="GW35" s="61"/>
      <c r="GX35" s="61"/>
      <c r="GY35" s="61"/>
      <c r="GZ35" s="61"/>
      <c r="HA35" s="61"/>
      <c r="HB35" s="61"/>
      <c r="HC35" s="61"/>
      <c r="HD35" s="61"/>
      <c r="HE35" s="61"/>
      <c r="HF35" s="61"/>
      <c r="HG35" s="61"/>
      <c r="HH35" s="61"/>
      <c r="HI35" s="61"/>
      <c r="HJ35" s="61"/>
      <c r="HK35" s="61"/>
      <c r="HL35" s="61"/>
      <c r="HM35" s="61"/>
      <c r="HN35" s="61"/>
    </row>
    <row r="36" spans="1:222" s="64" customFormat="1" ht="27.9" customHeight="1">
      <c r="A36" s="89">
        <v>34</v>
      </c>
      <c r="B36" s="93">
        <v>153</v>
      </c>
      <c r="C36" s="94" t="s">
        <v>54</v>
      </c>
      <c r="D36" s="93" t="s">
        <v>18</v>
      </c>
      <c r="E36" s="95" t="s">
        <v>93</v>
      </c>
      <c r="F36" s="74"/>
      <c r="G36" s="75"/>
      <c r="H36" s="76"/>
      <c r="I36" s="75"/>
      <c r="J36" s="75"/>
      <c r="K36" s="75"/>
      <c r="L36" s="75"/>
      <c r="M36" s="75"/>
      <c r="N36" s="75"/>
      <c r="O36" s="76"/>
      <c r="P36" s="75"/>
      <c r="Q36" s="75"/>
      <c r="R36" s="106"/>
      <c r="S36" s="103"/>
      <c r="T36" s="73"/>
      <c r="U36" s="73"/>
      <c r="V36" s="73"/>
      <c r="W36" s="73"/>
      <c r="X36" s="164">
        <v>2</v>
      </c>
      <c r="Y36" s="153">
        <v>2</v>
      </c>
      <c r="Z36" s="113">
        <v>6</v>
      </c>
      <c r="AA36" s="165"/>
      <c r="AB36" s="153">
        <v>2</v>
      </c>
      <c r="AC36" s="113">
        <v>2</v>
      </c>
      <c r="AD36" s="113">
        <v>2</v>
      </c>
      <c r="AE36" s="154">
        <v>2</v>
      </c>
      <c r="AF36" s="153">
        <v>2</v>
      </c>
      <c r="AG36" s="113"/>
      <c r="AH36" s="113">
        <v>2</v>
      </c>
      <c r="AI36" s="153">
        <v>2</v>
      </c>
      <c r="AJ36" s="113">
        <v>2</v>
      </c>
      <c r="AK36" s="152"/>
      <c r="AL36" s="153">
        <v>2</v>
      </c>
      <c r="AM36" s="153">
        <v>2</v>
      </c>
      <c r="AN36" s="150">
        <v>2</v>
      </c>
      <c r="AO36" s="153">
        <v>6</v>
      </c>
      <c r="AP36" s="165" t="s">
        <v>134</v>
      </c>
      <c r="AQ36" s="149"/>
      <c r="AR36" s="113"/>
      <c r="AS36" s="113"/>
      <c r="AT36" s="113"/>
      <c r="AU36" s="150"/>
      <c r="AV36" s="150"/>
      <c r="AW36" s="153"/>
      <c r="AX36" s="155"/>
      <c r="AY36" s="113"/>
      <c r="AZ36" s="113"/>
      <c r="BA36" s="154"/>
      <c r="BB36" s="150"/>
      <c r="BC36" s="113"/>
      <c r="BD36" s="113"/>
      <c r="BE36" s="128"/>
      <c r="BF36" s="110"/>
      <c r="BG36" s="110"/>
      <c r="BH36" s="123"/>
      <c r="BI36" s="110"/>
      <c r="BJ36" s="110"/>
      <c r="BK36" s="110"/>
      <c r="BL36" s="110"/>
      <c r="BM36" s="110"/>
      <c r="BN36" s="110"/>
      <c r="BO36" s="123"/>
      <c r="BP36" s="110"/>
      <c r="BQ36" s="124"/>
      <c r="BR36" s="121">
        <f t="shared" si="2"/>
        <v>38</v>
      </c>
      <c r="BS36" s="122">
        <f t="shared" si="3"/>
        <v>1</v>
      </c>
      <c r="BT36" s="115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  <c r="DP36" s="61"/>
      <c r="DQ36" s="61"/>
      <c r="DR36" s="61"/>
      <c r="DS36" s="61"/>
      <c r="DT36" s="61"/>
      <c r="DU36" s="61"/>
      <c r="DV36" s="61"/>
      <c r="DW36" s="61"/>
      <c r="DX36" s="61"/>
      <c r="DY36" s="61"/>
      <c r="DZ36" s="61"/>
      <c r="EA36" s="61"/>
      <c r="EB36" s="61"/>
      <c r="EC36" s="61"/>
      <c r="ED36" s="61"/>
      <c r="EE36" s="61"/>
      <c r="EF36" s="61"/>
      <c r="EG36" s="61"/>
      <c r="EH36" s="61"/>
      <c r="EI36" s="61"/>
      <c r="EJ36" s="61"/>
      <c r="EK36" s="61"/>
      <c r="EL36" s="61"/>
      <c r="EM36" s="61"/>
      <c r="EN36" s="61"/>
      <c r="EO36" s="61"/>
      <c r="EP36" s="61"/>
      <c r="EQ36" s="61"/>
      <c r="ER36" s="61"/>
      <c r="ES36" s="61"/>
      <c r="ET36" s="61"/>
      <c r="EU36" s="61"/>
      <c r="EV36" s="61"/>
      <c r="EW36" s="61"/>
      <c r="EX36" s="61"/>
      <c r="EY36" s="61"/>
      <c r="EZ36" s="61"/>
      <c r="FA36" s="61"/>
      <c r="FB36" s="61"/>
      <c r="FC36" s="61"/>
      <c r="FD36" s="61"/>
      <c r="FE36" s="61"/>
      <c r="FF36" s="61"/>
      <c r="FG36" s="61"/>
      <c r="FH36" s="61"/>
      <c r="FI36" s="61"/>
      <c r="FJ36" s="61"/>
      <c r="FK36" s="61"/>
      <c r="FL36" s="61"/>
      <c r="FM36" s="61"/>
      <c r="FN36" s="61"/>
      <c r="FO36" s="61"/>
      <c r="FP36" s="61"/>
      <c r="FQ36" s="61"/>
      <c r="FR36" s="61"/>
      <c r="FS36" s="61"/>
      <c r="FT36" s="61"/>
      <c r="FU36" s="61"/>
      <c r="FV36" s="61"/>
      <c r="FW36" s="61"/>
      <c r="FX36" s="61"/>
      <c r="FY36" s="61"/>
      <c r="FZ36" s="61"/>
      <c r="GA36" s="61"/>
      <c r="GB36" s="61"/>
      <c r="GC36" s="61"/>
      <c r="GD36" s="61"/>
      <c r="GE36" s="61"/>
      <c r="GF36" s="61"/>
      <c r="GG36" s="61"/>
      <c r="GH36" s="61"/>
      <c r="GI36" s="61"/>
      <c r="GJ36" s="61"/>
      <c r="GK36" s="61"/>
      <c r="GL36" s="61"/>
      <c r="GM36" s="61"/>
      <c r="GN36" s="61"/>
      <c r="GO36" s="61"/>
      <c r="GP36" s="61"/>
      <c r="GQ36" s="61"/>
      <c r="GR36" s="61"/>
      <c r="GS36" s="61"/>
      <c r="GT36" s="61"/>
      <c r="GU36" s="61"/>
      <c r="GV36" s="61"/>
      <c r="GW36" s="61"/>
      <c r="GX36" s="61"/>
      <c r="GY36" s="61"/>
      <c r="GZ36" s="61"/>
      <c r="HA36" s="61"/>
      <c r="HB36" s="61"/>
      <c r="HC36" s="61"/>
      <c r="HD36" s="61"/>
      <c r="HE36" s="61"/>
      <c r="HF36" s="61"/>
      <c r="HG36" s="61"/>
      <c r="HH36" s="61"/>
      <c r="HI36" s="61"/>
      <c r="HJ36" s="61"/>
      <c r="HK36" s="61"/>
      <c r="HL36" s="61"/>
      <c r="HM36" s="61"/>
      <c r="HN36" s="61"/>
    </row>
    <row r="37" spans="1:222" s="64" customFormat="1" ht="27.9" customHeight="1">
      <c r="A37" s="89">
        <v>35</v>
      </c>
      <c r="B37" s="93">
        <v>161</v>
      </c>
      <c r="C37" s="94" t="s">
        <v>120</v>
      </c>
      <c r="D37" s="93" t="s">
        <v>121</v>
      </c>
      <c r="E37" s="95" t="s">
        <v>93</v>
      </c>
      <c r="F37" s="74"/>
      <c r="G37" s="75"/>
      <c r="H37" s="76"/>
      <c r="I37" s="75"/>
      <c r="J37" s="75"/>
      <c r="K37" s="75"/>
      <c r="L37" s="75"/>
      <c r="M37" s="75"/>
      <c r="N37" s="75"/>
      <c r="O37" s="76"/>
      <c r="P37" s="75"/>
      <c r="Q37" s="75"/>
      <c r="R37" s="108"/>
      <c r="S37" s="103"/>
      <c r="T37" s="73"/>
      <c r="U37" s="73"/>
      <c r="V37" s="73"/>
      <c r="W37" s="73"/>
      <c r="X37" s="164">
        <v>2</v>
      </c>
      <c r="Y37" s="153">
        <v>2</v>
      </c>
      <c r="Z37" s="113">
        <v>6</v>
      </c>
      <c r="AA37" s="113"/>
      <c r="AB37" s="153">
        <v>2</v>
      </c>
      <c r="AC37" s="113">
        <v>2</v>
      </c>
      <c r="AD37" s="113">
        <v>2</v>
      </c>
      <c r="AE37" s="154">
        <v>2</v>
      </c>
      <c r="AF37" s="153">
        <v>2</v>
      </c>
      <c r="AG37" s="113"/>
      <c r="AH37" s="113">
        <v>2</v>
      </c>
      <c r="AI37" s="153">
        <v>2</v>
      </c>
      <c r="AJ37" s="113">
        <v>2</v>
      </c>
      <c r="AK37" s="152"/>
      <c r="AL37" s="154">
        <v>2</v>
      </c>
      <c r="AM37" s="153">
        <v>2</v>
      </c>
      <c r="AN37" s="150">
        <v>5</v>
      </c>
      <c r="AO37" s="113">
        <v>6</v>
      </c>
      <c r="AP37" s="153">
        <v>2</v>
      </c>
      <c r="AQ37" s="149"/>
      <c r="AR37" s="113"/>
      <c r="AS37" s="113"/>
      <c r="AT37" s="113"/>
      <c r="AU37" s="150"/>
      <c r="AV37" s="150"/>
      <c r="AW37" s="113"/>
      <c r="AX37" s="149"/>
      <c r="AY37" s="113"/>
      <c r="AZ37" s="113"/>
      <c r="BA37" s="154"/>
      <c r="BB37" s="150"/>
      <c r="BC37" s="113"/>
      <c r="BD37" s="113"/>
      <c r="BE37" s="128"/>
      <c r="BF37" s="110"/>
      <c r="BG37" s="110"/>
      <c r="BH37" s="123"/>
      <c r="BI37" s="110"/>
      <c r="BJ37" s="110"/>
      <c r="BK37" s="110"/>
      <c r="BL37" s="110"/>
      <c r="BM37" s="110"/>
      <c r="BN37" s="110"/>
      <c r="BO37" s="123"/>
      <c r="BP37" s="110"/>
      <c r="BQ37" s="124"/>
      <c r="BR37" s="121">
        <f t="shared" ref="BR37:BR38" si="14">SUM(R37:BP37)</f>
        <v>43</v>
      </c>
      <c r="BS37" s="122">
        <f t="shared" ref="BS37:BS38" si="15">COUNTIF(F37:BP37,"A")</f>
        <v>0</v>
      </c>
      <c r="BT37" s="115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1"/>
      <c r="DL37" s="61"/>
      <c r="DM37" s="61"/>
      <c r="DN37" s="61"/>
      <c r="DO37" s="61"/>
      <c r="DP37" s="61"/>
      <c r="DQ37" s="61"/>
      <c r="DR37" s="61"/>
      <c r="DS37" s="61"/>
      <c r="DT37" s="61"/>
      <c r="DU37" s="61"/>
      <c r="DV37" s="61"/>
      <c r="DW37" s="61"/>
      <c r="DX37" s="61"/>
      <c r="DY37" s="61"/>
      <c r="DZ37" s="61"/>
      <c r="EA37" s="61"/>
      <c r="EB37" s="61"/>
      <c r="EC37" s="61"/>
      <c r="ED37" s="61"/>
      <c r="EE37" s="61"/>
      <c r="EF37" s="61"/>
      <c r="EG37" s="61"/>
      <c r="EH37" s="61"/>
      <c r="EI37" s="61"/>
      <c r="EJ37" s="61"/>
      <c r="EK37" s="61"/>
      <c r="EL37" s="61"/>
      <c r="EM37" s="61"/>
      <c r="EN37" s="61"/>
      <c r="EO37" s="61"/>
      <c r="EP37" s="61"/>
      <c r="EQ37" s="61"/>
      <c r="ER37" s="61"/>
      <c r="ES37" s="61"/>
      <c r="ET37" s="61"/>
      <c r="EU37" s="61"/>
      <c r="EV37" s="61"/>
      <c r="EW37" s="61"/>
      <c r="EX37" s="61"/>
      <c r="EY37" s="61"/>
      <c r="EZ37" s="61"/>
      <c r="FA37" s="61"/>
      <c r="FB37" s="61"/>
      <c r="FC37" s="61"/>
      <c r="FD37" s="61"/>
      <c r="FE37" s="61"/>
      <c r="FF37" s="61"/>
      <c r="FG37" s="61"/>
      <c r="FH37" s="61"/>
      <c r="FI37" s="61"/>
      <c r="FJ37" s="61"/>
      <c r="FK37" s="61"/>
      <c r="FL37" s="61"/>
      <c r="FM37" s="61"/>
      <c r="FN37" s="61"/>
      <c r="FO37" s="61"/>
      <c r="FP37" s="61"/>
      <c r="FQ37" s="61"/>
      <c r="FR37" s="61"/>
      <c r="FS37" s="61"/>
      <c r="FT37" s="61"/>
      <c r="FU37" s="61"/>
      <c r="FV37" s="61"/>
      <c r="FW37" s="61"/>
      <c r="FX37" s="61"/>
      <c r="FY37" s="61"/>
      <c r="FZ37" s="61"/>
      <c r="GA37" s="61"/>
      <c r="GB37" s="61"/>
      <c r="GC37" s="61"/>
      <c r="GD37" s="61"/>
      <c r="GE37" s="61"/>
      <c r="GF37" s="61"/>
      <c r="GG37" s="61"/>
      <c r="GH37" s="61"/>
      <c r="GI37" s="61"/>
      <c r="GJ37" s="61"/>
      <c r="GK37" s="61"/>
      <c r="GL37" s="61"/>
      <c r="GM37" s="61"/>
      <c r="GN37" s="61"/>
      <c r="GO37" s="61"/>
      <c r="GP37" s="61"/>
      <c r="GQ37" s="61"/>
      <c r="GR37" s="61"/>
      <c r="GS37" s="61"/>
      <c r="GT37" s="61"/>
      <c r="GU37" s="61"/>
      <c r="GV37" s="61"/>
      <c r="GW37" s="61"/>
      <c r="GX37" s="61"/>
      <c r="GY37" s="61"/>
      <c r="GZ37" s="61"/>
      <c r="HA37" s="61"/>
      <c r="HB37" s="61"/>
      <c r="HC37" s="61"/>
      <c r="HD37" s="61"/>
      <c r="HE37" s="61"/>
      <c r="HF37" s="61"/>
      <c r="HG37" s="61"/>
      <c r="HH37" s="61"/>
      <c r="HI37" s="61"/>
      <c r="HJ37" s="61"/>
      <c r="HK37" s="61"/>
      <c r="HL37" s="61"/>
      <c r="HM37" s="61"/>
      <c r="HN37" s="61"/>
    </row>
    <row r="38" spans="1:222" s="64" customFormat="1" ht="27.9" customHeight="1">
      <c r="A38" s="89">
        <v>36</v>
      </c>
      <c r="B38" s="93">
        <v>162</v>
      </c>
      <c r="C38" s="94" t="s">
        <v>131</v>
      </c>
      <c r="D38" s="93" t="s">
        <v>121</v>
      </c>
      <c r="E38" s="95" t="s">
        <v>93</v>
      </c>
      <c r="F38" s="74"/>
      <c r="G38" s="75"/>
      <c r="H38" s="76"/>
      <c r="I38" s="75"/>
      <c r="J38" s="75"/>
      <c r="K38" s="75"/>
      <c r="L38" s="75"/>
      <c r="M38" s="75"/>
      <c r="N38" s="75"/>
      <c r="O38" s="76"/>
      <c r="P38" s="75"/>
      <c r="Q38" s="75"/>
      <c r="R38" s="108"/>
      <c r="S38" s="103"/>
      <c r="T38" s="73"/>
      <c r="U38" s="73"/>
      <c r="V38" s="73"/>
      <c r="W38" s="73"/>
      <c r="X38" s="164">
        <v>2</v>
      </c>
      <c r="Y38" s="153">
        <v>5</v>
      </c>
      <c r="Z38" s="113">
        <v>6</v>
      </c>
      <c r="AA38" s="113"/>
      <c r="AB38" s="153">
        <v>2</v>
      </c>
      <c r="AC38" s="113">
        <v>2</v>
      </c>
      <c r="AD38" s="113">
        <v>2</v>
      </c>
      <c r="AE38" s="154">
        <v>2</v>
      </c>
      <c r="AF38" s="153">
        <v>5</v>
      </c>
      <c r="AG38" s="113">
        <v>6</v>
      </c>
      <c r="AH38" s="113">
        <v>2</v>
      </c>
      <c r="AI38" s="153">
        <v>2</v>
      </c>
      <c r="AJ38" s="113">
        <v>2</v>
      </c>
      <c r="AK38" s="152"/>
      <c r="AL38" s="154">
        <v>2</v>
      </c>
      <c r="AM38" s="153">
        <v>3</v>
      </c>
      <c r="AN38" s="150">
        <v>2</v>
      </c>
      <c r="AO38" s="113"/>
      <c r="AP38" s="153">
        <v>2</v>
      </c>
      <c r="AQ38" s="149"/>
      <c r="AR38" s="113"/>
      <c r="AS38" s="113"/>
      <c r="AT38" s="113"/>
      <c r="AU38" s="150"/>
      <c r="AV38" s="150"/>
      <c r="AW38" s="113"/>
      <c r="AX38" s="149"/>
      <c r="AY38" s="113"/>
      <c r="AZ38" s="113"/>
      <c r="BA38" s="154"/>
      <c r="BB38" s="150"/>
      <c r="BC38" s="113"/>
      <c r="BD38" s="113"/>
      <c r="BE38" s="128"/>
      <c r="BF38" s="110"/>
      <c r="BG38" s="110"/>
      <c r="BH38" s="123"/>
      <c r="BI38" s="110"/>
      <c r="BJ38" s="110"/>
      <c r="BK38" s="110"/>
      <c r="BL38" s="110"/>
      <c r="BM38" s="110"/>
      <c r="BN38" s="110"/>
      <c r="BO38" s="123"/>
      <c r="BP38" s="110"/>
      <c r="BQ38" s="124"/>
      <c r="BR38" s="121">
        <f t="shared" si="14"/>
        <v>47</v>
      </c>
      <c r="BS38" s="122">
        <f t="shared" si="15"/>
        <v>0</v>
      </c>
      <c r="BT38" s="115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  <c r="CW38" s="61"/>
      <c r="CX38" s="61"/>
      <c r="CY38" s="61"/>
      <c r="CZ38" s="61"/>
      <c r="DA38" s="61"/>
      <c r="DB38" s="61"/>
      <c r="DC38" s="61"/>
      <c r="DD38" s="61"/>
      <c r="DE38" s="61"/>
      <c r="DF38" s="61"/>
      <c r="DG38" s="61"/>
      <c r="DH38" s="61"/>
      <c r="DI38" s="61"/>
      <c r="DJ38" s="61"/>
      <c r="DK38" s="61"/>
      <c r="DL38" s="61"/>
      <c r="DM38" s="61"/>
      <c r="DN38" s="61"/>
      <c r="DO38" s="61"/>
      <c r="DP38" s="61"/>
      <c r="DQ38" s="61"/>
      <c r="DR38" s="61"/>
      <c r="DS38" s="61"/>
      <c r="DT38" s="61"/>
      <c r="DU38" s="61"/>
      <c r="DV38" s="61"/>
      <c r="DW38" s="61"/>
      <c r="DX38" s="61"/>
      <c r="DY38" s="61"/>
      <c r="DZ38" s="61"/>
      <c r="EA38" s="61"/>
      <c r="EB38" s="61"/>
      <c r="EC38" s="61"/>
      <c r="ED38" s="61"/>
      <c r="EE38" s="61"/>
      <c r="EF38" s="61"/>
      <c r="EG38" s="61"/>
      <c r="EH38" s="61"/>
      <c r="EI38" s="61"/>
      <c r="EJ38" s="61"/>
      <c r="EK38" s="61"/>
      <c r="EL38" s="61"/>
      <c r="EM38" s="61"/>
      <c r="EN38" s="61"/>
      <c r="EO38" s="61"/>
      <c r="EP38" s="61"/>
      <c r="EQ38" s="61"/>
      <c r="ER38" s="61"/>
      <c r="ES38" s="61"/>
      <c r="ET38" s="61"/>
      <c r="EU38" s="61"/>
      <c r="EV38" s="61"/>
      <c r="EW38" s="61"/>
      <c r="EX38" s="61"/>
      <c r="EY38" s="61"/>
      <c r="EZ38" s="61"/>
      <c r="FA38" s="61"/>
      <c r="FB38" s="61"/>
      <c r="FC38" s="61"/>
      <c r="FD38" s="61"/>
      <c r="FE38" s="61"/>
      <c r="FF38" s="61"/>
      <c r="FG38" s="61"/>
      <c r="FH38" s="61"/>
      <c r="FI38" s="61"/>
      <c r="FJ38" s="61"/>
      <c r="FK38" s="61"/>
      <c r="FL38" s="61"/>
      <c r="FM38" s="61"/>
      <c r="FN38" s="61"/>
      <c r="FO38" s="61"/>
      <c r="FP38" s="61"/>
      <c r="FQ38" s="61"/>
      <c r="FR38" s="61"/>
      <c r="FS38" s="61"/>
      <c r="FT38" s="61"/>
      <c r="FU38" s="61"/>
      <c r="FV38" s="61"/>
      <c r="FW38" s="61"/>
      <c r="FX38" s="61"/>
      <c r="FY38" s="61"/>
      <c r="FZ38" s="61"/>
      <c r="GA38" s="61"/>
      <c r="GB38" s="61"/>
      <c r="GC38" s="61"/>
      <c r="GD38" s="61"/>
      <c r="GE38" s="61"/>
      <c r="GF38" s="61"/>
      <c r="GG38" s="61"/>
      <c r="GH38" s="61"/>
      <c r="GI38" s="61"/>
      <c r="GJ38" s="61"/>
      <c r="GK38" s="61"/>
      <c r="GL38" s="61"/>
      <c r="GM38" s="61"/>
      <c r="GN38" s="61"/>
      <c r="GO38" s="61"/>
      <c r="GP38" s="61"/>
      <c r="GQ38" s="61"/>
      <c r="GR38" s="61"/>
      <c r="GS38" s="61"/>
      <c r="GT38" s="61"/>
      <c r="GU38" s="61"/>
      <c r="GV38" s="61"/>
      <c r="GW38" s="61"/>
      <c r="GX38" s="61"/>
      <c r="GY38" s="61"/>
      <c r="GZ38" s="61"/>
      <c r="HA38" s="61"/>
      <c r="HB38" s="61"/>
      <c r="HC38" s="61"/>
      <c r="HD38" s="61"/>
      <c r="HE38" s="61"/>
      <c r="HF38" s="61"/>
      <c r="HG38" s="61"/>
      <c r="HH38" s="61"/>
      <c r="HI38" s="61"/>
      <c r="HJ38" s="61"/>
      <c r="HK38" s="61"/>
      <c r="HL38" s="61"/>
      <c r="HM38" s="61"/>
      <c r="HN38" s="61"/>
    </row>
    <row r="39" spans="1:222" s="64" customFormat="1" ht="27.9" customHeight="1">
      <c r="A39" s="89">
        <v>37</v>
      </c>
      <c r="B39" s="93">
        <v>168</v>
      </c>
      <c r="C39" s="94" t="s">
        <v>99</v>
      </c>
      <c r="D39" s="93" t="s">
        <v>7</v>
      </c>
      <c r="E39" s="95" t="s">
        <v>93</v>
      </c>
      <c r="F39" s="74"/>
      <c r="G39" s="75"/>
      <c r="H39" s="76"/>
      <c r="I39" s="75"/>
      <c r="J39" s="75"/>
      <c r="K39" s="75"/>
      <c r="L39" s="75"/>
      <c r="M39" s="75"/>
      <c r="N39" s="75"/>
      <c r="O39" s="76"/>
      <c r="P39" s="75"/>
      <c r="Q39" s="75"/>
      <c r="R39" s="108"/>
      <c r="S39" s="103"/>
      <c r="T39" s="73"/>
      <c r="U39" s="73"/>
      <c r="V39" s="73"/>
      <c r="W39" s="73"/>
      <c r="X39" s="164">
        <v>2</v>
      </c>
      <c r="Y39" s="165" t="s">
        <v>134</v>
      </c>
      <c r="Z39" s="113"/>
      <c r="AA39" s="113"/>
      <c r="AB39" s="153">
        <v>2</v>
      </c>
      <c r="AC39" s="113">
        <v>2</v>
      </c>
      <c r="AD39" s="113">
        <v>2</v>
      </c>
      <c r="AE39" s="154">
        <v>2</v>
      </c>
      <c r="AF39" s="153">
        <v>2</v>
      </c>
      <c r="AG39" s="113"/>
      <c r="AH39" s="113">
        <v>2</v>
      </c>
      <c r="AI39" s="153">
        <v>2</v>
      </c>
      <c r="AJ39" s="113">
        <v>2</v>
      </c>
      <c r="AK39" s="152"/>
      <c r="AL39" s="153">
        <v>2</v>
      </c>
      <c r="AM39" s="153">
        <v>2</v>
      </c>
      <c r="AN39" s="150">
        <v>2</v>
      </c>
      <c r="AO39" s="113">
        <v>6</v>
      </c>
      <c r="AP39" s="153">
        <v>2</v>
      </c>
      <c r="AQ39" s="149"/>
      <c r="AR39" s="113"/>
      <c r="AS39" s="113"/>
      <c r="AT39" s="113"/>
      <c r="AU39" s="150"/>
      <c r="AV39" s="150"/>
      <c r="AW39" s="113"/>
      <c r="AX39" s="149"/>
      <c r="AY39" s="113"/>
      <c r="AZ39" s="113"/>
      <c r="BA39" s="154"/>
      <c r="BB39" s="150"/>
      <c r="BC39" s="113"/>
      <c r="BD39" s="113"/>
      <c r="BE39" s="128"/>
      <c r="BF39" s="110"/>
      <c r="BG39" s="110"/>
      <c r="BH39" s="123"/>
      <c r="BI39" s="110"/>
      <c r="BJ39" s="110"/>
      <c r="BK39" s="110"/>
      <c r="BL39" s="110"/>
      <c r="BM39" s="110"/>
      <c r="BN39" s="110"/>
      <c r="BO39" s="123"/>
      <c r="BP39" s="110"/>
      <c r="BQ39" s="124"/>
      <c r="BR39" s="121">
        <f t="shared" si="2"/>
        <v>32</v>
      </c>
      <c r="BS39" s="122">
        <f t="shared" si="3"/>
        <v>1</v>
      </c>
      <c r="BT39" s="115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M39" s="61"/>
      <c r="CN39" s="61"/>
      <c r="CO39" s="61"/>
      <c r="CP39" s="61"/>
      <c r="CQ39" s="61"/>
      <c r="CR39" s="61"/>
      <c r="CS39" s="61"/>
      <c r="CT39" s="61"/>
      <c r="CU39" s="61"/>
      <c r="CV39" s="61"/>
      <c r="CW39" s="61"/>
      <c r="CX39" s="61"/>
      <c r="CY39" s="61"/>
      <c r="CZ39" s="61"/>
      <c r="DA39" s="61"/>
      <c r="DB39" s="61"/>
      <c r="DC39" s="61"/>
      <c r="DD39" s="61"/>
      <c r="DE39" s="61"/>
      <c r="DF39" s="61"/>
      <c r="DG39" s="61"/>
      <c r="DH39" s="61"/>
      <c r="DI39" s="61"/>
      <c r="DJ39" s="61"/>
      <c r="DK39" s="61"/>
      <c r="DL39" s="61"/>
      <c r="DM39" s="61"/>
      <c r="DN39" s="61"/>
      <c r="DO39" s="61"/>
      <c r="DP39" s="61"/>
      <c r="DQ39" s="61"/>
      <c r="DR39" s="61"/>
      <c r="DS39" s="61"/>
      <c r="DT39" s="61"/>
      <c r="DU39" s="61"/>
      <c r="DV39" s="61"/>
      <c r="DW39" s="61"/>
      <c r="DX39" s="61"/>
      <c r="DY39" s="61"/>
      <c r="DZ39" s="61"/>
      <c r="EA39" s="61"/>
      <c r="EB39" s="61"/>
      <c r="EC39" s="61"/>
      <c r="ED39" s="61"/>
      <c r="EE39" s="61"/>
      <c r="EF39" s="61"/>
      <c r="EG39" s="61"/>
      <c r="EH39" s="61"/>
      <c r="EI39" s="61"/>
      <c r="EJ39" s="61"/>
      <c r="EK39" s="61"/>
      <c r="EL39" s="61"/>
      <c r="EM39" s="61"/>
      <c r="EN39" s="61"/>
      <c r="EO39" s="61"/>
      <c r="EP39" s="61"/>
      <c r="EQ39" s="61"/>
      <c r="ER39" s="61"/>
      <c r="ES39" s="61"/>
      <c r="ET39" s="61"/>
      <c r="EU39" s="61"/>
      <c r="EV39" s="61"/>
      <c r="EW39" s="61"/>
      <c r="EX39" s="61"/>
      <c r="EY39" s="61"/>
      <c r="EZ39" s="61"/>
      <c r="FA39" s="61"/>
      <c r="FB39" s="61"/>
      <c r="FC39" s="61"/>
      <c r="FD39" s="61"/>
      <c r="FE39" s="61"/>
      <c r="FF39" s="61"/>
      <c r="FG39" s="61"/>
      <c r="FH39" s="61"/>
      <c r="FI39" s="61"/>
      <c r="FJ39" s="61"/>
      <c r="FK39" s="61"/>
      <c r="FL39" s="61"/>
      <c r="FM39" s="61"/>
      <c r="FN39" s="61"/>
      <c r="FO39" s="61"/>
      <c r="FP39" s="61"/>
      <c r="FQ39" s="61"/>
      <c r="FR39" s="61"/>
      <c r="FS39" s="61"/>
      <c r="FT39" s="61"/>
      <c r="FU39" s="61"/>
      <c r="FV39" s="61"/>
      <c r="FW39" s="61"/>
      <c r="FX39" s="61"/>
      <c r="FY39" s="61"/>
      <c r="FZ39" s="61"/>
      <c r="GA39" s="61"/>
      <c r="GB39" s="61"/>
      <c r="GC39" s="61"/>
      <c r="GD39" s="61"/>
      <c r="GE39" s="61"/>
      <c r="GF39" s="61"/>
      <c r="GG39" s="61"/>
      <c r="GH39" s="61"/>
      <c r="GI39" s="61"/>
      <c r="GJ39" s="61"/>
      <c r="GK39" s="61"/>
      <c r="GL39" s="61"/>
      <c r="GM39" s="61"/>
      <c r="GN39" s="61"/>
      <c r="GO39" s="61"/>
      <c r="GP39" s="61"/>
      <c r="GQ39" s="61"/>
      <c r="GR39" s="61"/>
      <c r="GS39" s="61"/>
      <c r="GT39" s="61"/>
      <c r="GU39" s="61"/>
      <c r="GV39" s="61"/>
      <c r="GW39" s="61"/>
      <c r="GX39" s="61"/>
      <c r="GY39" s="61"/>
      <c r="GZ39" s="61"/>
      <c r="HA39" s="61"/>
      <c r="HB39" s="61"/>
      <c r="HC39" s="61"/>
      <c r="HD39" s="61"/>
      <c r="HE39" s="61"/>
      <c r="HF39" s="61"/>
      <c r="HG39" s="61"/>
      <c r="HH39" s="61"/>
      <c r="HI39" s="61"/>
      <c r="HJ39" s="61"/>
      <c r="HK39" s="61"/>
      <c r="HL39" s="61"/>
      <c r="HM39" s="61"/>
      <c r="HN39" s="61"/>
    </row>
    <row r="40" spans="1:222" s="64" customFormat="1" ht="27.9" customHeight="1">
      <c r="A40" s="89">
        <v>38</v>
      </c>
      <c r="B40" s="93">
        <v>170</v>
      </c>
      <c r="C40" s="94" t="s">
        <v>13</v>
      </c>
      <c r="D40" s="93" t="s">
        <v>4</v>
      </c>
      <c r="E40" s="95" t="s">
        <v>93</v>
      </c>
      <c r="F40" s="74"/>
      <c r="G40" s="75"/>
      <c r="H40" s="76"/>
      <c r="I40" s="75"/>
      <c r="J40" s="75"/>
      <c r="K40" s="75"/>
      <c r="L40" s="75"/>
      <c r="M40" s="75"/>
      <c r="N40" s="75"/>
      <c r="O40" s="76"/>
      <c r="P40" s="75"/>
      <c r="Q40" s="75"/>
      <c r="R40" s="104"/>
      <c r="S40" s="103"/>
      <c r="T40" s="73"/>
      <c r="U40" s="73"/>
      <c r="V40" s="73"/>
      <c r="W40" s="73"/>
      <c r="X40" s="164">
        <v>2</v>
      </c>
      <c r="Y40" s="165" t="s">
        <v>134</v>
      </c>
      <c r="Z40" s="148"/>
      <c r="AA40" s="113"/>
      <c r="AB40" s="153">
        <v>2</v>
      </c>
      <c r="AC40" s="113">
        <v>2</v>
      </c>
      <c r="AD40" s="113">
        <v>2</v>
      </c>
      <c r="AE40" s="154">
        <v>2</v>
      </c>
      <c r="AF40" s="165" t="s">
        <v>134</v>
      </c>
      <c r="AG40" s="113"/>
      <c r="AH40" s="165" t="s">
        <v>134</v>
      </c>
      <c r="AI40" s="153">
        <v>2</v>
      </c>
      <c r="AJ40" s="165" t="s">
        <v>134</v>
      </c>
      <c r="AK40" s="152"/>
      <c r="AL40" s="113">
        <v>2</v>
      </c>
      <c r="AM40" s="153">
        <v>2</v>
      </c>
      <c r="AN40" s="150">
        <v>2</v>
      </c>
      <c r="AO40" s="113">
        <v>6</v>
      </c>
      <c r="AP40" s="153">
        <v>2</v>
      </c>
      <c r="AQ40" s="153"/>
      <c r="AR40" s="153"/>
      <c r="AS40" s="153"/>
      <c r="AT40" s="113"/>
      <c r="AU40" s="153"/>
      <c r="AV40" s="150"/>
      <c r="AW40" s="113"/>
      <c r="AX40" s="149"/>
      <c r="AY40" s="113"/>
      <c r="AZ40" s="113"/>
      <c r="BA40" s="154"/>
      <c r="BB40" s="150"/>
      <c r="BC40" s="113"/>
      <c r="BD40" s="153"/>
      <c r="BE40" s="113"/>
      <c r="BF40" s="110"/>
      <c r="BG40" s="110"/>
      <c r="BH40" s="123"/>
      <c r="BI40" s="110"/>
      <c r="BJ40" s="110"/>
      <c r="BK40" s="110"/>
      <c r="BL40" s="110"/>
      <c r="BM40" s="110"/>
      <c r="BN40" s="110"/>
      <c r="BO40" s="123"/>
      <c r="BP40" s="110"/>
      <c r="BQ40" s="124"/>
      <c r="BR40" s="121">
        <f t="shared" si="2"/>
        <v>26</v>
      </c>
      <c r="BS40" s="122">
        <f t="shared" si="3"/>
        <v>4</v>
      </c>
      <c r="BT40" s="115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61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  <c r="DH40" s="61"/>
      <c r="DI40" s="61"/>
      <c r="DJ40" s="61"/>
      <c r="DK40" s="61"/>
      <c r="DL40" s="61"/>
      <c r="DM40" s="61"/>
      <c r="DN40" s="61"/>
      <c r="DO40" s="61"/>
      <c r="DP40" s="61"/>
      <c r="DQ40" s="61"/>
      <c r="DR40" s="61"/>
      <c r="DS40" s="61"/>
      <c r="DT40" s="61"/>
      <c r="DU40" s="61"/>
      <c r="DV40" s="61"/>
      <c r="DW40" s="61"/>
      <c r="DX40" s="61"/>
      <c r="DY40" s="61"/>
      <c r="DZ40" s="61"/>
      <c r="EA40" s="61"/>
      <c r="EB40" s="61"/>
      <c r="EC40" s="61"/>
      <c r="ED40" s="61"/>
      <c r="EE40" s="61"/>
      <c r="EF40" s="61"/>
      <c r="EG40" s="61"/>
      <c r="EH40" s="61"/>
      <c r="EI40" s="61"/>
      <c r="EJ40" s="61"/>
      <c r="EK40" s="61"/>
      <c r="EL40" s="61"/>
      <c r="EM40" s="61"/>
      <c r="EN40" s="61"/>
      <c r="EO40" s="61"/>
      <c r="EP40" s="61"/>
      <c r="EQ40" s="61"/>
      <c r="ER40" s="61"/>
      <c r="ES40" s="61"/>
      <c r="ET40" s="61"/>
      <c r="EU40" s="61"/>
      <c r="EV40" s="61"/>
      <c r="EW40" s="61"/>
      <c r="EX40" s="61"/>
      <c r="EY40" s="61"/>
      <c r="EZ40" s="61"/>
      <c r="FA40" s="61"/>
      <c r="FB40" s="61"/>
      <c r="FC40" s="61"/>
      <c r="FD40" s="61"/>
      <c r="FE40" s="61"/>
      <c r="FF40" s="61"/>
      <c r="FG40" s="61"/>
      <c r="FH40" s="61"/>
      <c r="FI40" s="61"/>
      <c r="FJ40" s="61"/>
      <c r="FK40" s="61"/>
      <c r="FL40" s="61"/>
      <c r="FM40" s="61"/>
      <c r="FN40" s="61"/>
      <c r="FO40" s="61"/>
      <c r="FP40" s="61"/>
      <c r="FQ40" s="61"/>
      <c r="FR40" s="61"/>
      <c r="FS40" s="61"/>
      <c r="FT40" s="61"/>
      <c r="FU40" s="61"/>
      <c r="FV40" s="61"/>
      <c r="FW40" s="61"/>
      <c r="FX40" s="61"/>
      <c r="FY40" s="61"/>
      <c r="FZ40" s="61"/>
      <c r="GA40" s="61"/>
      <c r="GB40" s="61"/>
      <c r="GC40" s="61"/>
      <c r="GD40" s="61"/>
      <c r="GE40" s="61"/>
      <c r="GF40" s="61"/>
      <c r="GG40" s="61"/>
      <c r="GH40" s="61"/>
      <c r="GI40" s="61"/>
      <c r="GJ40" s="61"/>
      <c r="GK40" s="61"/>
      <c r="GL40" s="61"/>
      <c r="GM40" s="61"/>
      <c r="GN40" s="61"/>
      <c r="GO40" s="61"/>
      <c r="GP40" s="61"/>
      <c r="GQ40" s="61"/>
      <c r="GR40" s="61"/>
      <c r="GS40" s="61"/>
      <c r="GT40" s="61"/>
      <c r="GU40" s="61"/>
      <c r="GV40" s="61"/>
      <c r="GW40" s="61"/>
      <c r="GX40" s="61"/>
      <c r="GY40" s="61"/>
      <c r="GZ40" s="61"/>
      <c r="HA40" s="61"/>
      <c r="HB40" s="61"/>
      <c r="HC40" s="61"/>
      <c r="HD40" s="61"/>
      <c r="HE40" s="61"/>
      <c r="HF40" s="61"/>
      <c r="HG40" s="61"/>
      <c r="HH40" s="61"/>
      <c r="HI40" s="61"/>
      <c r="HJ40" s="61"/>
      <c r="HK40" s="61"/>
      <c r="HL40" s="61"/>
      <c r="HM40" s="61"/>
      <c r="HN40" s="61"/>
    </row>
    <row r="41" spans="1:222" s="64" customFormat="1" ht="27.9" customHeight="1">
      <c r="A41" s="89">
        <v>39</v>
      </c>
      <c r="B41" s="93">
        <v>173</v>
      </c>
      <c r="C41" s="94" t="s">
        <v>67</v>
      </c>
      <c r="D41" s="93" t="s">
        <v>4</v>
      </c>
      <c r="E41" s="95" t="s">
        <v>93</v>
      </c>
      <c r="F41" s="74"/>
      <c r="G41" s="75"/>
      <c r="H41" s="76"/>
      <c r="I41" s="75"/>
      <c r="J41" s="75"/>
      <c r="K41" s="75"/>
      <c r="L41" s="75"/>
      <c r="M41" s="75"/>
      <c r="N41" s="75"/>
      <c r="O41" s="76"/>
      <c r="P41" s="75"/>
      <c r="Q41" s="75"/>
      <c r="R41" s="106"/>
      <c r="S41" s="103"/>
      <c r="T41" s="73"/>
      <c r="U41" s="73"/>
      <c r="V41" s="73"/>
      <c r="W41" s="73"/>
      <c r="X41" s="164">
        <v>2</v>
      </c>
      <c r="Y41" s="165" t="s">
        <v>134</v>
      </c>
      <c r="Z41" s="148"/>
      <c r="AA41" s="113"/>
      <c r="AB41" s="153">
        <v>2</v>
      </c>
      <c r="AC41" s="113">
        <v>2</v>
      </c>
      <c r="AD41" s="153">
        <v>2</v>
      </c>
      <c r="AE41" s="154">
        <v>2</v>
      </c>
      <c r="AF41" s="153">
        <v>2</v>
      </c>
      <c r="AG41" s="113"/>
      <c r="AH41" s="113">
        <v>2</v>
      </c>
      <c r="AI41" s="153">
        <v>2</v>
      </c>
      <c r="AJ41" s="165" t="s">
        <v>134</v>
      </c>
      <c r="AK41" s="152"/>
      <c r="AL41" s="113">
        <v>2</v>
      </c>
      <c r="AM41" s="153">
        <v>2</v>
      </c>
      <c r="AN41" s="150">
        <v>2</v>
      </c>
      <c r="AO41" s="113"/>
      <c r="AP41" s="153">
        <v>2</v>
      </c>
      <c r="AQ41" s="153"/>
      <c r="AR41" s="113"/>
      <c r="AS41" s="153"/>
      <c r="AT41" s="113"/>
      <c r="AU41" s="150"/>
      <c r="AV41" s="150"/>
      <c r="AW41" s="113"/>
      <c r="AX41" s="149"/>
      <c r="AY41" s="113"/>
      <c r="AZ41" s="113"/>
      <c r="BA41" s="154"/>
      <c r="BB41" s="113"/>
      <c r="BC41" s="113"/>
      <c r="BD41" s="113"/>
      <c r="BE41" s="128"/>
      <c r="BF41" s="110"/>
      <c r="BG41" s="110"/>
      <c r="BH41" s="123"/>
      <c r="BI41" s="110"/>
      <c r="BJ41" s="110"/>
      <c r="BK41" s="110"/>
      <c r="BL41" s="110"/>
      <c r="BM41" s="110"/>
      <c r="BN41" s="110"/>
      <c r="BO41" s="123"/>
      <c r="BP41" s="110"/>
      <c r="BQ41" s="124"/>
      <c r="BR41" s="121">
        <f t="shared" si="2"/>
        <v>24</v>
      </c>
      <c r="BS41" s="122">
        <f t="shared" si="3"/>
        <v>2</v>
      </c>
      <c r="BT41" s="115"/>
      <c r="BU41" s="61"/>
      <c r="BV41" s="61"/>
      <c r="BW41" s="61"/>
      <c r="BX41" s="61"/>
      <c r="BY41" s="61"/>
      <c r="BZ41" s="61"/>
      <c r="CA41" s="61"/>
      <c r="CB41" s="61"/>
      <c r="CC41" s="61"/>
      <c r="CD41" s="61"/>
      <c r="CE41" s="61"/>
      <c r="CF41" s="61"/>
      <c r="CG41" s="61"/>
      <c r="CH41" s="61"/>
      <c r="CI41" s="61"/>
      <c r="CJ41" s="61"/>
      <c r="CK41" s="61"/>
      <c r="CL41" s="61"/>
      <c r="CM41" s="61"/>
      <c r="CN41" s="61"/>
      <c r="CO41" s="61"/>
      <c r="CP41" s="61"/>
      <c r="CQ41" s="61"/>
      <c r="CR41" s="61"/>
      <c r="CS41" s="61"/>
      <c r="CT41" s="61"/>
      <c r="CU41" s="61"/>
      <c r="CV41" s="61"/>
      <c r="CW41" s="61"/>
      <c r="CX41" s="61"/>
      <c r="CY41" s="61"/>
      <c r="CZ41" s="61"/>
      <c r="DA41" s="61"/>
      <c r="DB41" s="61"/>
      <c r="DC41" s="61"/>
      <c r="DD41" s="61"/>
      <c r="DE41" s="61"/>
      <c r="DF41" s="61"/>
      <c r="DG41" s="61"/>
      <c r="DH41" s="61"/>
      <c r="DI41" s="61"/>
      <c r="DJ41" s="61"/>
      <c r="DK41" s="61"/>
      <c r="DL41" s="61"/>
      <c r="DM41" s="61"/>
      <c r="DN41" s="61"/>
      <c r="DO41" s="61"/>
      <c r="DP41" s="61"/>
      <c r="DQ41" s="61"/>
      <c r="DR41" s="61"/>
      <c r="DS41" s="61"/>
      <c r="DT41" s="61"/>
      <c r="DU41" s="61"/>
      <c r="DV41" s="61"/>
      <c r="DW41" s="61"/>
      <c r="DX41" s="61"/>
      <c r="DY41" s="61"/>
      <c r="DZ41" s="61"/>
      <c r="EA41" s="61"/>
      <c r="EB41" s="61"/>
      <c r="EC41" s="61"/>
      <c r="ED41" s="61"/>
      <c r="EE41" s="61"/>
      <c r="EF41" s="61"/>
      <c r="EG41" s="61"/>
      <c r="EH41" s="61"/>
      <c r="EI41" s="61"/>
      <c r="EJ41" s="61"/>
      <c r="EK41" s="61"/>
      <c r="EL41" s="61"/>
      <c r="EM41" s="61"/>
      <c r="EN41" s="61"/>
      <c r="EO41" s="61"/>
      <c r="EP41" s="61"/>
      <c r="EQ41" s="61"/>
      <c r="ER41" s="61"/>
      <c r="ES41" s="61"/>
      <c r="ET41" s="61"/>
      <c r="EU41" s="61"/>
      <c r="EV41" s="61"/>
      <c r="EW41" s="61"/>
      <c r="EX41" s="61"/>
      <c r="EY41" s="61"/>
      <c r="EZ41" s="61"/>
      <c r="FA41" s="61"/>
      <c r="FB41" s="61"/>
      <c r="FC41" s="61"/>
      <c r="FD41" s="61"/>
      <c r="FE41" s="61"/>
      <c r="FF41" s="61"/>
      <c r="FG41" s="61"/>
      <c r="FH41" s="61"/>
      <c r="FI41" s="61"/>
      <c r="FJ41" s="61"/>
      <c r="FK41" s="61"/>
      <c r="FL41" s="61"/>
      <c r="FM41" s="61"/>
      <c r="FN41" s="61"/>
      <c r="FO41" s="61"/>
      <c r="FP41" s="61"/>
      <c r="FQ41" s="61"/>
      <c r="FR41" s="61"/>
      <c r="FS41" s="61"/>
      <c r="FT41" s="61"/>
      <c r="FU41" s="61"/>
      <c r="FV41" s="61"/>
      <c r="FW41" s="61"/>
      <c r="FX41" s="61"/>
      <c r="FY41" s="61"/>
      <c r="FZ41" s="61"/>
      <c r="GA41" s="61"/>
      <c r="GB41" s="61"/>
      <c r="GC41" s="61"/>
      <c r="GD41" s="61"/>
      <c r="GE41" s="61"/>
      <c r="GF41" s="61"/>
      <c r="GG41" s="61"/>
      <c r="GH41" s="61"/>
      <c r="GI41" s="61"/>
      <c r="GJ41" s="61"/>
      <c r="GK41" s="61"/>
      <c r="GL41" s="61"/>
      <c r="GM41" s="61"/>
      <c r="GN41" s="61"/>
      <c r="GO41" s="61"/>
      <c r="GP41" s="61"/>
      <c r="GQ41" s="61"/>
      <c r="GR41" s="61"/>
      <c r="GS41" s="61"/>
      <c r="GT41" s="61"/>
      <c r="GU41" s="61"/>
      <c r="GV41" s="61"/>
      <c r="GW41" s="61"/>
      <c r="GX41" s="61"/>
      <c r="GY41" s="61"/>
      <c r="GZ41" s="61"/>
      <c r="HA41" s="61"/>
      <c r="HB41" s="61"/>
      <c r="HC41" s="61"/>
      <c r="HD41" s="61"/>
      <c r="HE41" s="61"/>
      <c r="HF41" s="61"/>
      <c r="HG41" s="61"/>
      <c r="HH41" s="61"/>
      <c r="HI41" s="61"/>
      <c r="HJ41" s="61"/>
      <c r="HK41" s="61"/>
      <c r="HL41" s="61"/>
      <c r="HM41" s="61"/>
      <c r="HN41" s="61"/>
    </row>
    <row r="42" spans="1:222" s="64" customFormat="1" ht="27.9" customHeight="1">
      <c r="A42" s="89">
        <v>40</v>
      </c>
      <c r="B42" s="93">
        <v>174</v>
      </c>
      <c r="C42" s="94" t="s">
        <v>68</v>
      </c>
      <c r="D42" s="93" t="s">
        <v>5</v>
      </c>
      <c r="E42" s="95" t="s">
        <v>93</v>
      </c>
      <c r="F42" s="74"/>
      <c r="G42" s="75"/>
      <c r="H42" s="76"/>
      <c r="I42" s="75"/>
      <c r="J42" s="75"/>
      <c r="K42" s="75"/>
      <c r="L42" s="75"/>
      <c r="M42" s="75"/>
      <c r="N42" s="75"/>
      <c r="O42" s="76"/>
      <c r="P42" s="75"/>
      <c r="Q42" s="75"/>
      <c r="R42" s="104"/>
      <c r="S42" s="103"/>
      <c r="T42" s="73"/>
      <c r="U42" s="73"/>
      <c r="V42" s="73"/>
      <c r="W42" s="73"/>
      <c r="X42" s="164">
        <v>4</v>
      </c>
      <c r="Y42" s="164">
        <v>4</v>
      </c>
      <c r="Z42" s="162">
        <v>6</v>
      </c>
      <c r="AA42" s="113"/>
      <c r="AB42" s="153">
        <v>2</v>
      </c>
      <c r="AC42" s="113">
        <v>2</v>
      </c>
      <c r="AD42" s="153">
        <v>2</v>
      </c>
      <c r="AE42" s="166"/>
      <c r="AF42" s="167"/>
      <c r="AG42" s="168"/>
      <c r="AH42" s="168"/>
      <c r="AI42" s="167"/>
      <c r="AJ42" s="168"/>
      <c r="AK42" s="152"/>
      <c r="AL42" s="168"/>
      <c r="AM42" s="167"/>
      <c r="AN42" s="169"/>
      <c r="AO42" s="113"/>
      <c r="AP42" s="169"/>
      <c r="AQ42" s="169"/>
      <c r="AR42" s="169"/>
      <c r="AS42" s="169"/>
      <c r="AT42" s="169"/>
      <c r="AU42" s="169"/>
      <c r="AV42" s="150"/>
      <c r="AW42" s="113"/>
      <c r="AX42" s="113"/>
      <c r="AY42" s="113"/>
      <c r="AZ42" s="113"/>
      <c r="BA42" s="113"/>
      <c r="BB42" s="113"/>
      <c r="BC42" s="113"/>
      <c r="BD42" s="113"/>
      <c r="BE42" s="128"/>
      <c r="BF42" s="110"/>
      <c r="BG42" s="110"/>
      <c r="BH42" s="123"/>
      <c r="BI42" s="110"/>
      <c r="BJ42" s="110"/>
      <c r="BK42" s="110"/>
      <c r="BL42" s="110"/>
      <c r="BM42" s="110"/>
      <c r="BN42" s="110"/>
      <c r="BO42" s="123"/>
      <c r="BP42" s="110"/>
      <c r="BQ42" s="124"/>
      <c r="BR42" s="121">
        <f t="shared" si="2"/>
        <v>20</v>
      </c>
      <c r="BS42" s="122">
        <f t="shared" si="3"/>
        <v>0</v>
      </c>
      <c r="BT42" s="115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61"/>
      <c r="CS42" s="61"/>
      <c r="CT42" s="61"/>
      <c r="CU42" s="61"/>
      <c r="CV42" s="61"/>
      <c r="CW42" s="61"/>
      <c r="CX42" s="61"/>
      <c r="CY42" s="61"/>
      <c r="CZ42" s="61"/>
      <c r="DA42" s="61"/>
      <c r="DB42" s="61"/>
      <c r="DC42" s="61"/>
      <c r="DD42" s="61"/>
      <c r="DE42" s="61"/>
      <c r="DF42" s="61"/>
      <c r="DG42" s="61"/>
      <c r="DH42" s="61"/>
      <c r="DI42" s="61"/>
      <c r="DJ42" s="61"/>
      <c r="DK42" s="61"/>
      <c r="DL42" s="61"/>
      <c r="DM42" s="61"/>
      <c r="DN42" s="61"/>
      <c r="DO42" s="61"/>
      <c r="DP42" s="61"/>
      <c r="DQ42" s="61"/>
      <c r="DR42" s="61"/>
      <c r="DS42" s="61"/>
      <c r="DT42" s="61"/>
      <c r="DU42" s="61"/>
      <c r="DV42" s="61"/>
      <c r="DW42" s="61"/>
      <c r="DX42" s="61"/>
      <c r="DY42" s="61"/>
      <c r="DZ42" s="61"/>
      <c r="EA42" s="61"/>
      <c r="EB42" s="61"/>
      <c r="EC42" s="61"/>
      <c r="ED42" s="61"/>
      <c r="EE42" s="61"/>
      <c r="EF42" s="61"/>
      <c r="EG42" s="61"/>
      <c r="EH42" s="61"/>
      <c r="EI42" s="61"/>
      <c r="EJ42" s="61"/>
      <c r="EK42" s="61"/>
      <c r="EL42" s="61"/>
      <c r="EM42" s="61"/>
      <c r="EN42" s="61"/>
      <c r="EO42" s="61"/>
      <c r="EP42" s="61"/>
      <c r="EQ42" s="61"/>
      <c r="ER42" s="61"/>
      <c r="ES42" s="61"/>
      <c r="ET42" s="61"/>
      <c r="EU42" s="61"/>
      <c r="EV42" s="61"/>
      <c r="EW42" s="61"/>
      <c r="EX42" s="61"/>
      <c r="EY42" s="61"/>
      <c r="EZ42" s="61"/>
      <c r="FA42" s="61"/>
      <c r="FB42" s="61"/>
      <c r="FC42" s="61"/>
      <c r="FD42" s="61"/>
      <c r="FE42" s="61"/>
      <c r="FF42" s="61"/>
      <c r="FG42" s="61"/>
      <c r="FH42" s="61"/>
      <c r="FI42" s="61"/>
      <c r="FJ42" s="61"/>
      <c r="FK42" s="61"/>
      <c r="FL42" s="61"/>
      <c r="FM42" s="61"/>
      <c r="FN42" s="61"/>
      <c r="FO42" s="61"/>
      <c r="FP42" s="61"/>
      <c r="FQ42" s="61"/>
      <c r="FR42" s="61"/>
      <c r="FS42" s="61"/>
      <c r="FT42" s="61"/>
      <c r="FU42" s="61"/>
      <c r="FV42" s="61"/>
      <c r="FW42" s="61"/>
      <c r="FX42" s="61"/>
      <c r="FY42" s="61"/>
      <c r="FZ42" s="61"/>
      <c r="GA42" s="61"/>
      <c r="GB42" s="61"/>
      <c r="GC42" s="61"/>
      <c r="GD42" s="61"/>
      <c r="GE42" s="61"/>
      <c r="GF42" s="61"/>
      <c r="GG42" s="61"/>
      <c r="GH42" s="61"/>
      <c r="GI42" s="61"/>
      <c r="GJ42" s="61"/>
      <c r="GK42" s="61"/>
      <c r="GL42" s="61"/>
      <c r="GM42" s="61"/>
      <c r="GN42" s="61"/>
      <c r="GO42" s="61"/>
      <c r="GP42" s="61"/>
      <c r="GQ42" s="61"/>
      <c r="GR42" s="61"/>
      <c r="GS42" s="61"/>
      <c r="GT42" s="61"/>
      <c r="GU42" s="61"/>
      <c r="GV42" s="61"/>
      <c r="GW42" s="61"/>
      <c r="GX42" s="61"/>
      <c r="GY42" s="61"/>
      <c r="GZ42" s="61"/>
      <c r="HA42" s="61"/>
      <c r="HB42" s="61"/>
      <c r="HC42" s="61"/>
      <c r="HD42" s="61"/>
      <c r="HE42" s="61"/>
      <c r="HF42" s="61"/>
      <c r="HG42" s="61"/>
      <c r="HH42" s="61"/>
      <c r="HI42" s="61"/>
      <c r="HJ42" s="61"/>
      <c r="HK42" s="61"/>
      <c r="HL42" s="61"/>
      <c r="HM42" s="61"/>
      <c r="HN42" s="61"/>
    </row>
    <row r="43" spans="1:222" s="64" customFormat="1" ht="33.75" customHeight="1">
      <c r="A43" s="89">
        <v>41</v>
      </c>
      <c r="B43" s="99">
        <v>175</v>
      </c>
      <c r="C43" s="100" t="s">
        <v>65</v>
      </c>
      <c r="D43" s="99" t="s">
        <v>75</v>
      </c>
      <c r="E43" s="95" t="s">
        <v>93</v>
      </c>
      <c r="F43" s="102"/>
      <c r="G43" s="103"/>
      <c r="H43" s="104"/>
      <c r="I43" s="103"/>
      <c r="J43" s="103"/>
      <c r="K43" s="103"/>
      <c r="L43" s="103"/>
      <c r="M43" s="103"/>
      <c r="N43" s="103"/>
      <c r="O43" s="104"/>
      <c r="P43" s="103"/>
      <c r="Q43" s="103"/>
      <c r="R43" s="106"/>
      <c r="S43" s="103"/>
      <c r="T43" s="73"/>
      <c r="U43" s="73"/>
      <c r="V43" s="73"/>
      <c r="W43" s="73"/>
      <c r="X43" s="164">
        <v>4</v>
      </c>
      <c r="Y43" s="153">
        <v>4</v>
      </c>
      <c r="Z43" s="113">
        <v>12</v>
      </c>
      <c r="AA43" s="113">
        <v>4</v>
      </c>
      <c r="AB43" s="113">
        <v>4</v>
      </c>
      <c r="AC43" s="113">
        <v>4</v>
      </c>
      <c r="AD43" s="113">
        <v>4</v>
      </c>
      <c r="AE43" s="154">
        <v>4</v>
      </c>
      <c r="AF43" s="153">
        <v>4</v>
      </c>
      <c r="AG43" s="113">
        <v>12</v>
      </c>
      <c r="AH43" s="113">
        <v>4</v>
      </c>
      <c r="AI43" s="153">
        <v>4</v>
      </c>
      <c r="AJ43" s="113">
        <v>4</v>
      </c>
      <c r="AK43" s="152"/>
      <c r="AL43" s="113">
        <v>4</v>
      </c>
      <c r="AM43" s="113">
        <v>4</v>
      </c>
      <c r="AN43" s="150">
        <v>4</v>
      </c>
      <c r="AO43" s="113">
        <v>12</v>
      </c>
      <c r="AP43" s="113">
        <v>4</v>
      </c>
      <c r="AQ43" s="149"/>
      <c r="AR43" s="113"/>
      <c r="AS43" s="113"/>
      <c r="AT43" s="154"/>
      <c r="AU43" s="150"/>
      <c r="AV43" s="150"/>
      <c r="AW43" s="113"/>
      <c r="AX43" s="155"/>
      <c r="AY43" s="113"/>
      <c r="AZ43" s="113"/>
      <c r="BA43" s="154"/>
      <c r="BB43" s="150"/>
      <c r="BC43" s="113"/>
      <c r="BD43" s="113"/>
      <c r="BE43" s="128"/>
      <c r="BF43" s="110"/>
      <c r="BG43" s="110"/>
      <c r="BH43" s="123"/>
      <c r="BI43" s="110"/>
      <c r="BJ43" s="110"/>
      <c r="BK43" s="110"/>
      <c r="BL43" s="110"/>
      <c r="BM43" s="110"/>
      <c r="BN43" s="110"/>
      <c r="BO43" s="123"/>
      <c r="BP43" s="110"/>
      <c r="BQ43" s="124"/>
      <c r="BR43" s="121">
        <f t="shared" si="2"/>
        <v>96</v>
      </c>
      <c r="BS43" s="122">
        <f t="shared" si="3"/>
        <v>0</v>
      </c>
      <c r="BT43" s="116" t="s">
        <v>79</v>
      </c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61"/>
      <c r="CG43" s="61"/>
      <c r="CH43" s="61"/>
      <c r="CI43" s="61"/>
      <c r="CJ43" s="61"/>
      <c r="CK43" s="61"/>
      <c r="CL43" s="61"/>
      <c r="CM43" s="61"/>
      <c r="CN43" s="61"/>
      <c r="CO43" s="61"/>
      <c r="CP43" s="61"/>
      <c r="CQ43" s="61"/>
      <c r="CR43" s="61"/>
      <c r="CS43" s="61"/>
      <c r="CT43" s="61"/>
      <c r="CU43" s="61"/>
      <c r="CV43" s="61"/>
      <c r="CW43" s="61"/>
      <c r="CX43" s="61"/>
      <c r="CY43" s="61"/>
      <c r="CZ43" s="61"/>
      <c r="DA43" s="61"/>
      <c r="DB43" s="61"/>
      <c r="DC43" s="61"/>
      <c r="DD43" s="61"/>
      <c r="DE43" s="61"/>
      <c r="DF43" s="61"/>
      <c r="DG43" s="61"/>
      <c r="DH43" s="61"/>
      <c r="DI43" s="61"/>
      <c r="DJ43" s="61"/>
      <c r="DK43" s="61"/>
      <c r="DL43" s="61"/>
      <c r="DM43" s="61"/>
      <c r="DN43" s="61"/>
      <c r="DO43" s="61"/>
      <c r="DP43" s="61"/>
      <c r="DQ43" s="61"/>
      <c r="DR43" s="61"/>
      <c r="DS43" s="61"/>
      <c r="DT43" s="61"/>
      <c r="DU43" s="61"/>
      <c r="DV43" s="61"/>
      <c r="DW43" s="61"/>
      <c r="DX43" s="61"/>
      <c r="DY43" s="61"/>
      <c r="DZ43" s="61"/>
      <c r="EA43" s="61"/>
      <c r="EB43" s="61"/>
      <c r="EC43" s="61"/>
      <c r="ED43" s="61"/>
      <c r="EE43" s="61"/>
      <c r="EF43" s="61"/>
      <c r="EG43" s="61"/>
      <c r="EH43" s="61"/>
      <c r="EI43" s="61"/>
      <c r="EJ43" s="61"/>
      <c r="EK43" s="61"/>
      <c r="EL43" s="61"/>
      <c r="EM43" s="61"/>
      <c r="EN43" s="61"/>
      <c r="EO43" s="61"/>
      <c r="EP43" s="61"/>
      <c r="EQ43" s="61"/>
      <c r="ER43" s="61"/>
      <c r="ES43" s="61"/>
      <c r="ET43" s="61"/>
      <c r="EU43" s="61"/>
      <c r="EV43" s="61"/>
      <c r="EW43" s="61"/>
      <c r="EX43" s="61"/>
      <c r="EY43" s="61"/>
      <c r="EZ43" s="61"/>
      <c r="FA43" s="61"/>
      <c r="FB43" s="61"/>
      <c r="FC43" s="61"/>
      <c r="FD43" s="61"/>
      <c r="FE43" s="61"/>
      <c r="FF43" s="61"/>
      <c r="FG43" s="61"/>
      <c r="FH43" s="61"/>
      <c r="FI43" s="61"/>
      <c r="FJ43" s="61"/>
      <c r="FK43" s="61"/>
      <c r="FL43" s="61"/>
      <c r="FM43" s="61"/>
      <c r="FN43" s="61"/>
      <c r="FO43" s="61"/>
      <c r="FP43" s="61"/>
      <c r="FQ43" s="61"/>
      <c r="FR43" s="61"/>
      <c r="FS43" s="61"/>
      <c r="FT43" s="61"/>
      <c r="FU43" s="61"/>
      <c r="FV43" s="61"/>
      <c r="FW43" s="61"/>
      <c r="FX43" s="61"/>
      <c r="FY43" s="61"/>
      <c r="FZ43" s="61"/>
      <c r="GA43" s="61"/>
      <c r="GB43" s="61"/>
      <c r="GC43" s="61"/>
      <c r="GD43" s="61"/>
      <c r="GE43" s="61"/>
      <c r="GF43" s="61"/>
      <c r="GG43" s="61"/>
      <c r="GH43" s="61"/>
      <c r="GI43" s="61"/>
      <c r="GJ43" s="61"/>
      <c r="GK43" s="61"/>
      <c r="GL43" s="61"/>
      <c r="GM43" s="61"/>
      <c r="GN43" s="61"/>
      <c r="GO43" s="61"/>
      <c r="GP43" s="61"/>
      <c r="GQ43" s="61"/>
      <c r="GR43" s="61"/>
      <c r="GS43" s="61"/>
      <c r="GT43" s="61"/>
      <c r="GU43" s="61"/>
      <c r="GV43" s="61"/>
      <c r="GW43" s="61"/>
      <c r="GX43" s="61"/>
      <c r="GY43" s="61"/>
      <c r="GZ43" s="61"/>
      <c r="HA43" s="61"/>
      <c r="HB43" s="61"/>
      <c r="HC43" s="61"/>
      <c r="HD43" s="61"/>
      <c r="HE43" s="61"/>
      <c r="HF43" s="61"/>
      <c r="HG43" s="61"/>
      <c r="HH43" s="61"/>
      <c r="HI43" s="61"/>
      <c r="HJ43" s="61"/>
      <c r="HK43" s="61"/>
      <c r="HL43" s="61"/>
      <c r="HM43" s="61"/>
      <c r="HN43" s="61"/>
    </row>
    <row r="44" spans="1:222" s="64" customFormat="1" ht="33.75" customHeight="1">
      <c r="A44" s="89">
        <v>42</v>
      </c>
      <c r="B44" s="99">
        <v>182</v>
      </c>
      <c r="C44" s="100" t="s">
        <v>100</v>
      </c>
      <c r="D44" s="99" t="s">
        <v>3</v>
      </c>
      <c r="E44" s="95" t="s">
        <v>93</v>
      </c>
      <c r="F44" s="102"/>
      <c r="G44" s="103"/>
      <c r="H44" s="104"/>
      <c r="I44" s="103"/>
      <c r="J44" s="103"/>
      <c r="K44" s="103"/>
      <c r="L44" s="103"/>
      <c r="M44" s="103"/>
      <c r="N44" s="103"/>
      <c r="O44" s="104"/>
      <c r="P44" s="103"/>
      <c r="Q44" s="103"/>
      <c r="R44" s="108"/>
      <c r="S44" s="103"/>
      <c r="T44" s="73"/>
      <c r="U44" s="73"/>
      <c r="V44" s="73"/>
      <c r="W44" s="73"/>
      <c r="X44" s="164">
        <v>2</v>
      </c>
      <c r="Y44" s="153">
        <v>3</v>
      </c>
      <c r="Z44" s="113">
        <v>6</v>
      </c>
      <c r="AA44" s="113"/>
      <c r="AB44" s="113">
        <v>2</v>
      </c>
      <c r="AC44" s="113">
        <v>2</v>
      </c>
      <c r="AD44" s="113">
        <v>2</v>
      </c>
      <c r="AE44" s="154">
        <v>2</v>
      </c>
      <c r="AF44" s="153">
        <v>2</v>
      </c>
      <c r="AG44" s="113"/>
      <c r="AH44" s="113">
        <v>2</v>
      </c>
      <c r="AI44" s="153">
        <v>2</v>
      </c>
      <c r="AJ44" s="113">
        <v>2</v>
      </c>
      <c r="AK44" s="152"/>
      <c r="AL44" s="113">
        <v>2</v>
      </c>
      <c r="AM44" s="113">
        <v>3</v>
      </c>
      <c r="AN44" s="150">
        <v>2</v>
      </c>
      <c r="AO44" s="113">
        <v>6</v>
      </c>
      <c r="AP44" s="113">
        <v>2</v>
      </c>
      <c r="AQ44" s="149"/>
      <c r="AR44" s="113"/>
      <c r="AS44" s="113"/>
      <c r="AT44" s="154"/>
      <c r="AU44" s="150"/>
      <c r="AV44" s="150"/>
      <c r="AW44" s="113"/>
      <c r="AX44" s="155"/>
      <c r="AY44" s="113"/>
      <c r="AZ44" s="113"/>
      <c r="BA44" s="154"/>
      <c r="BB44" s="150"/>
      <c r="BC44" s="113"/>
      <c r="BD44" s="113"/>
      <c r="BE44" s="128"/>
      <c r="BF44" s="110"/>
      <c r="BG44" s="110"/>
      <c r="BH44" s="123"/>
      <c r="BI44" s="110"/>
      <c r="BJ44" s="110"/>
      <c r="BK44" s="110"/>
      <c r="BL44" s="110"/>
      <c r="BM44" s="110"/>
      <c r="BN44" s="110"/>
      <c r="BO44" s="123"/>
      <c r="BP44" s="110"/>
      <c r="BQ44" s="124"/>
      <c r="BR44" s="121">
        <f t="shared" si="2"/>
        <v>42</v>
      </c>
      <c r="BS44" s="122">
        <f t="shared" si="3"/>
        <v>0</v>
      </c>
      <c r="BT44" s="130"/>
      <c r="BU44" s="61"/>
      <c r="BV44" s="61"/>
      <c r="BW44" s="61"/>
      <c r="BX44" s="61"/>
      <c r="BY44" s="61"/>
      <c r="BZ44" s="61"/>
      <c r="CA44" s="61"/>
      <c r="CB44" s="61"/>
      <c r="CC44" s="61"/>
      <c r="CD44" s="61"/>
      <c r="CE44" s="61"/>
      <c r="CF44" s="61"/>
      <c r="CG44" s="61"/>
      <c r="CH44" s="61"/>
      <c r="CI44" s="61"/>
      <c r="CJ44" s="61"/>
      <c r="CK44" s="61"/>
      <c r="CL44" s="61"/>
      <c r="CM44" s="61"/>
      <c r="CN44" s="61"/>
      <c r="CO44" s="61"/>
      <c r="CP44" s="61"/>
      <c r="CQ44" s="61"/>
      <c r="CR44" s="61"/>
      <c r="CS44" s="61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  <c r="DH44" s="61"/>
      <c r="DI44" s="61"/>
      <c r="DJ44" s="61"/>
      <c r="DK44" s="61"/>
      <c r="DL44" s="61"/>
      <c r="DM44" s="61"/>
      <c r="DN44" s="61"/>
      <c r="DO44" s="61"/>
      <c r="DP44" s="61"/>
      <c r="DQ44" s="61"/>
      <c r="DR44" s="61"/>
      <c r="DS44" s="61"/>
      <c r="DT44" s="61"/>
      <c r="DU44" s="61"/>
      <c r="DV44" s="61"/>
      <c r="DW44" s="61"/>
      <c r="DX44" s="61"/>
      <c r="DY44" s="61"/>
      <c r="DZ44" s="61"/>
      <c r="EA44" s="61"/>
      <c r="EB44" s="61"/>
      <c r="EC44" s="61"/>
      <c r="ED44" s="61"/>
      <c r="EE44" s="61"/>
      <c r="EF44" s="61"/>
      <c r="EG44" s="61"/>
      <c r="EH44" s="61"/>
      <c r="EI44" s="61"/>
      <c r="EJ44" s="61"/>
      <c r="EK44" s="61"/>
      <c r="EL44" s="61"/>
      <c r="EM44" s="61"/>
      <c r="EN44" s="61"/>
      <c r="EO44" s="61"/>
      <c r="EP44" s="61"/>
      <c r="EQ44" s="61"/>
      <c r="ER44" s="61"/>
      <c r="ES44" s="61"/>
      <c r="ET44" s="61"/>
      <c r="EU44" s="61"/>
      <c r="EV44" s="61"/>
      <c r="EW44" s="61"/>
      <c r="EX44" s="61"/>
      <c r="EY44" s="61"/>
      <c r="EZ44" s="61"/>
      <c r="FA44" s="61"/>
      <c r="FB44" s="61"/>
      <c r="FC44" s="61"/>
      <c r="FD44" s="61"/>
      <c r="FE44" s="61"/>
      <c r="FF44" s="61"/>
      <c r="FG44" s="61"/>
      <c r="FH44" s="61"/>
      <c r="FI44" s="61"/>
      <c r="FJ44" s="61"/>
      <c r="FK44" s="61"/>
      <c r="FL44" s="61"/>
      <c r="FM44" s="61"/>
      <c r="FN44" s="61"/>
      <c r="FO44" s="61"/>
      <c r="FP44" s="61"/>
      <c r="FQ44" s="61"/>
      <c r="FR44" s="61"/>
      <c r="FS44" s="61"/>
      <c r="FT44" s="61"/>
      <c r="FU44" s="61"/>
      <c r="FV44" s="61"/>
      <c r="FW44" s="61"/>
      <c r="FX44" s="61"/>
      <c r="FY44" s="61"/>
      <c r="FZ44" s="61"/>
      <c r="GA44" s="61"/>
      <c r="GB44" s="61"/>
      <c r="GC44" s="61"/>
      <c r="GD44" s="61"/>
      <c r="GE44" s="61"/>
      <c r="GF44" s="61"/>
      <c r="GG44" s="61"/>
      <c r="GH44" s="61"/>
      <c r="GI44" s="61"/>
      <c r="GJ44" s="61"/>
      <c r="GK44" s="61"/>
      <c r="GL44" s="61"/>
      <c r="GM44" s="61"/>
      <c r="GN44" s="61"/>
      <c r="GO44" s="61"/>
      <c r="GP44" s="61"/>
      <c r="GQ44" s="61"/>
      <c r="GR44" s="61"/>
      <c r="GS44" s="61"/>
      <c r="GT44" s="61"/>
      <c r="GU44" s="61"/>
      <c r="GV44" s="61"/>
      <c r="GW44" s="61"/>
      <c r="GX44" s="61"/>
      <c r="GY44" s="61"/>
      <c r="GZ44" s="61"/>
      <c r="HA44" s="61"/>
      <c r="HB44" s="61"/>
      <c r="HC44" s="61"/>
      <c r="HD44" s="61"/>
      <c r="HE44" s="61"/>
      <c r="HF44" s="61"/>
      <c r="HG44" s="61"/>
      <c r="HH44" s="61"/>
      <c r="HI44" s="61"/>
      <c r="HJ44" s="61"/>
      <c r="HK44" s="61"/>
      <c r="HL44" s="61"/>
      <c r="HM44" s="61"/>
      <c r="HN44" s="61"/>
    </row>
    <row r="45" spans="1:222" s="64" customFormat="1" ht="27.9" customHeight="1">
      <c r="A45" s="89">
        <v>43</v>
      </c>
      <c r="B45" s="99">
        <v>190</v>
      </c>
      <c r="C45" s="100" t="s">
        <v>84</v>
      </c>
      <c r="D45" s="99" t="s">
        <v>3</v>
      </c>
      <c r="E45" s="95" t="s">
        <v>93</v>
      </c>
      <c r="F45" s="102"/>
      <c r="G45" s="103"/>
      <c r="H45" s="104"/>
      <c r="I45" s="103"/>
      <c r="J45" s="103"/>
      <c r="K45" s="103"/>
      <c r="L45" s="103"/>
      <c r="M45" s="103"/>
      <c r="N45" s="103"/>
      <c r="O45" s="104"/>
      <c r="P45" s="103"/>
      <c r="Q45" s="103"/>
      <c r="R45" s="104"/>
      <c r="S45" s="103"/>
      <c r="T45" s="73"/>
      <c r="U45" s="113"/>
      <c r="V45" s="113"/>
      <c r="W45" s="113"/>
      <c r="X45" s="164">
        <v>2</v>
      </c>
      <c r="Y45" s="153">
        <v>2</v>
      </c>
      <c r="Z45" s="153"/>
      <c r="AA45" s="165" t="s">
        <v>134</v>
      </c>
      <c r="AB45" s="153">
        <v>2</v>
      </c>
      <c r="AC45" s="153">
        <v>2</v>
      </c>
      <c r="AD45" s="153">
        <v>2</v>
      </c>
      <c r="AE45" s="113">
        <v>2</v>
      </c>
      <c r="AF45" s="153">
        <v>2</v>
      </c>
      <c r="AG45" s="113"/>
      <c r="AH45" s="113">
        <v>2</v>
      </c>
      <c r="AI45" s="113">
        <v>2</v>
      </c>
      <c r="AJ45" s="113">
        <v>2</v>
      </c>
      <c r="AK45" s="152"/>
      <c r="AL45" s="113">
        <v>2</v>
      </c>
      <c r="AM45" s="113">
        <v>2</v>
      </c>
      <c r="AN45" s="113">
        <v>2</v>
      </c>
      <c r="AO45" s="113"/>
      <c r="AP45" s="113">
        <v>2</v>
      </c>
      <c r="AQ45" s="149"/>
      <c r="AR45" s="113"/>
      <c r="AS45" s="113"/>
      <c r="AT45" s="113"/>
      <c r="AU45" s="113"/>
      <c r="AV45" s="153"/>
      <c r="AW45" s="113"/>
      <c r="AX45" s="155"/>
      <c r="AY45" s="153"/>
      <c r="AZ45" s="113"/>
      <c r="BA45" s="154"/>
      <c r="BB45" s="113"/>
      <c r="BC45" s="113"/>
      <c r="BD45" s="113"/>
      <c r="BE45" s="113"/>
      <c r="BF45" s="109"/>
      <c r="BG45" s="110"/>
      <c r="BH45" s="123"/>
      <c r="BI45" s="110"/>
      <c r="BJ45" s="110"/>
      <c r="BK45" s="110"/>
      <c r="BL45" s="110"/>
      <c r="BM45" s="110"/>
      <c r="BN45" s="110"/>
      <c r="BO45" s="123"/>
      <c r="BP45" s="110"/>
      <c r="BQ45" s="124"/>
      <c r="BR45" s="121">
        <f t="shared" si="2"/>
        <v>28</v>
      </c>
      <c r="BS45" s="122">
        <f t="shared" si="3"/>
        <v>1</v>
      </c>
      <c r="BT45" s="130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61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  <c r="DH45" s="61"/>
      <c r="DI45" s="61"/>
      <c r="DJ45" s="61"/>
      <c r="DK45" s="61"/>
      <c r="DL45" s="61"/>
      <c r="DM45" s="61"/>
      <c r="DN45" s="61"/>
      <c r="DO45" s="61"/>
      <c r="DP45" s="61"/>
      <c r="DQ45" s="61"/>
      <c r="DR45" s="61"/>
      <c r="DS45" s="61"/>
      <c r="DT45" s="61"/>
      <c r="DU45" s="61"/>
      <c r="DV45" s="61"/>
      <c r="DW45" s="61"/>
      <c r="DX45" s="61"/>
      <c r="DY45" s="61"/>
      <c r="DZ45" s="61"/>
      <c r="EA45" s="61"/>
      <c r="EB45" s="61"/>
      <c r="EC45" s="61"/>
      <c r="ED45" s="61"/>
      <c r="EE45" s="61"/>
      <c r="EF45" s="61"/>
      <c r="EG45" s="61"/>
      <c r="EH45" s="61"/>
      <c r="EI45" s="61"/>
      <c r="EJ45" s="61"/>
      <c r="EK45" s="61"/>
      <c r="EL45" s="61"/>
      <c r="EM45" s="61"/>
      <c r="EN45" s="61"/>
      <c r="EO45" s="61"/>
      <c r="EP45" s="61"/>
      <c r="EQ45" s="61"/>
      <c r="ER45" s="61"/>
      <c r="ES45" s="61"/>
      <c r="ET45" s="61"/>
      <c r="EU45" s="61"/>
      <c r="EV45" s="61"/>
      <c r="EW45" s="61"/>
      <c r="EX45" s="61"/>
      <c r="EY45" s="61"/>
      <c r="EZ45" s="61"/>
      <c r="FA45" s="61"/>
      <c r="FB45" s="61"/>
      <c r="FC45" s="61"/>
      <c r="FD45" s="61"/>
      <c r="FE45" s="61"/>
      <c r="FF45" s="61"/>
      <c r="FG45" s="61"/>
      <c r="FH45" s="61"/>
      <c r="FI45" s="61"/>
      <c r="FJ45" s="61"/>
      <c r="FK45" s="61"/>
      <c r="FL45" s="61"/>
      <c r="FM45" s="61"/>
      <c r="FN45" s="61"/>
      <c r="FO45" s="61"/>
      <c r="FP45" s="61"/>
      <c r="FQ45" s="61"/>
      <c r="FR45" s="61"/>
      <c r="FS45" s="61"/>
      <c r="FT45" s="61"/>
      <c r="FU45" s="61"/>
      <c r="FV45" s="61"/>
      <c r="FW45" s="61"/>
      <c r="FX45" s="61"/>
      <c r="FY45" s="61"/>
      <c r="FZ45" s="61"/>
      <c r="GA45" s="61"/>
      <c r="GB45" s="61"/>
      <c r="GC45" s="61"/>
      <c r="GD45" s="61"/>
      <c r="GE45" s="61"/>
      <c r="GF45" s="61"/>
      <c r="GG45" s="61"/>
      <c r="GH45" s="61"/>
      <c r="GI45" s="61"/>
      <c r="GJ45" s="61"/>
      <c r="GK45" s="61"/>
      <c r="GL45" s="61"/>
      <c r="GM45" s="61"/>
      <c r="GN45" s="61"/>
      <c r="GO45" s="61"/>
      <c r="GP45" s="61"/>
      <c r="GQ45" s="61"/>
      <c r="GR45" s="61"/>
      <c r="GS45" s="61"/>
      <c r="GT45" s="61"/>
      <c r="GU45" s="61"/>
      <c r="GV45" s="61"/>
      <c r="GW45" s="61"/>
      <c r="GX45" s="61"/>
      <c r="GY45" s="61"/>
      <c r="GZ45" s="61"/>
      <c r="HA45" s="61"/>
      <c r="HB45" s="61"/>
      <c r="HC45" s="61"/>
      <c r="HD45" s="61"/>
      <c r="HE45" s="61"/>
      <c r="HF45" s="61"/>
      <c r="HG45" s="61"/>
      <c r="HH45" s="61"/>
      <c r="HI45" s="61"/>
      <c r="HJ45" s="61"/>
      <c r="HK45" s="61"/>
      <c r="HL45" s="61"/>
      <c r="HM45" s="61"/>
      <c r="HN45" s="61"/>
    </row>
    <row r="46" spans="1:222" s="64" customFormat="1" ht="27.9" customHeight="1">
      <c r="A46" s="89">
        <v>44</v>
      </c>
      <c r="B46" s="99">
        <v>192</v>
      </c>
      <c r="C46" s="112" t="s">
        <v>101</v>
      </c>
      <c r="D46" s="99" t="s">
        <v>104</v>
      </c>
      <c r="E46" s="95" t="s">
        <v>93</v>
      </c>
      <c r="F46" s="102"/>
      <c r="G46" s="103"/>
      <c r="H46" s="104"/>
      <c r="I46" s="103"/>
      <c r="J46" s="103"/>
      <c r="K46" s="103"/>
      <c r="L46" s="103"/>
      <c r="M46" s="103"/>
      <c r="N46" s="103"/>
      <c r="O46" s="104"/>
      <c r="P46" s="103"/>
      <c r="Q46" s="103"/>
      <c r="R46" s="108"/>
      <c r="S46" s="103"/>
      <c r="T46" s="73"/>
      <c r="U46" s="73"/>
      <c r="V46" s="73"/>
      <c r="W46" s="73"/>
      <c r="X46" s="164">
        <v>2</v>
      </c>
      <c r="Y46" s="153">
        <v>2</v>
      </c>
      <c r="Z46" s="153"/>
      <c r="AA46" s="153"/>
      <c r="AB46" s="153">
        <v>2</v>
      </c>
      <c r="AC46" s="113">
        <v>2</v>
      </c>
      <c r="AD46" s="113">
        <v>2</v>
      </c>
      <c r="AE46" s="154">
        <v>2</v>
      </c>
      <c r="AF46" s="153">
        <v>2</v>
      </c>
      <c r="AG46" s="153"/>
      <c r="AH46" s="113">
        <v>2</v>
      </c>
      <c r="AI46" s="153">
        <v>2</v>
      </c>
      <c r="AJ46" s="113">
        <v>2</v>
      </c>
      <c r="AK46" s="152"/>
      <c r="AL46" s="113">
        <v>2</v>
      </c>
      <c r="AM46" s="113">
        <v>2</v>
      </c>
      <c r="AN46" s="150">
        <v>2</v>
      </c>
      <c r="AO46" s="113">
        <v>6</v>
      </c>
      <c r="AP46" s="153">
        <v>2</v>
      </c>
      <c r="AQ46" s="149"/>
      <c r="AR46" s="113"/>
      <c r="AS46" s="113"/>
      <c r="AT46" s="113"/>
      <c r="AU46" s="150"/>
      <c r="AV46" s="113"/>
      <c r="AW46" s="113"/>
      <c r="AX46" s="155"/>
      <c r="AY46" s="113"/>
      <c r="AZ46" s="113"/>
      <c r="BA46" s="154"/>
      <c r="BB46" s="150"/>
      <c r="BC46" s="113"/>
      <c r="BD46" s="113"/>
      <c r="BE46" s="128"/>
      <c r="BF46" s="110"/>
      <c r="BG46" s="110"/>
      <c r="BH46" s="123"/>
      <c r="BI46" s="110"/>
      <c r="BJ46" s="110"/>
      <c r="BK46" s="110"/>
      <c r="BL46" s="110"/>
      <c r="BM46" s="110"/>
      <c r="BN46" s="110"/>
      <c r="BO46" s="123"/>
      <c r="BP46" s="110"/>
      <c r="BQ46" s="124"/>
      <c r="BR46" s="121">
        <f t="shared" si="2"/>
        <v>34</v>
      </c>
      <c r="BS46" s="122">
        <f t="shared" si="3"/>
        <v>0</v>
      </c>
      <c r="BT46" s="130"/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61"/>
      <c r="CG46" s="61"/>
      <c r="CH46" s="61"/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  <c r="DI46" s="61"/>
      <c r="DJ46" s="61"/>
      <c r="DK46" s="61"/>
      <c r="DL46" s="61"/>
      <c r="DM46" s="61"/>
      <c r="DN46" s="61"/>
      <c r="DO46" s="61"/>
      <c r="DP46" s="61"/>
      <c r="DQ46" s="61"/>
      <c r="DR46" s="61"/>
      <c r="DS46" s="61"/>
      <c r="DT46" s="61"/>
      <c r="DU46" s="61"/>
      <c r="DV46" s="61"/>
      <c r="DW46" s="61"/>
      <c r="DX46" s="61"/>
      <c r="DY46" s="61"/>
      <c r="DZ46" s="61"/>
      <c r="EA46" s="61"/>
      <c r="EB46" s="61"/>
      <c r="EC46" s="61"/>
      <c r="ED46" s="61"/>
      <c r="EE46" s="61"/>
      <c r="EF46" s="61"/>
      <c r="EG46" s="61"/>
      <c r="EH46" s="61"/>
      <c r="EI46" s="61"/>
      <c r="EJ46" s="61"/>
      <c r="EK46" s="61"/>
      <c r="EL46" s="61"/>
      <c r="EM46" s="61"/>
      <c r="EN46" s="61"/>
      <c r="EO46" s="61"/>
      <c r="EP46" s="61"/>
      <c r="EQ46" s="61"/>
      <c r="ER46" s="61"/>
      <c r="ES46" s="61"/>
      <c r="ET46" s="61"/>
      <c r="EU46" s="61"/>
      <c r="EV46" s="61"/>
      <c r="EW46" s="61"/>
      <c r="EX46" s="61"/>
      <c r="EY46" s="61"/>
      <c r="EZ46" s="61"/>
      <c r="FA46" s="61"/>
      <c r="FB46" s="61"/>
      <c r="FC46" s="61"/>
      <c r="FD46" s="61"/>
      <c r="FE46" s="61"/>
      <c r="FF46" s="61"/>
      <c r="FG46" s="61"/>
      <c r="FH46" s="61"/>
      <c r="FI46" s="61"/>
      <c r="FJ46" s="61"/>
      <c r="FK46" s="61"/>
      <c r="FL46" s="61"/>
      <c r="FM46" s="61"/>
      <c r="FN46" s="61"/>
      <c r="FO46" s="61"/>
      <c r="FP46" s="61"/>
      <c r="FQ46" s="61"/>
      <c r="FR46" s="61"/>
      <c r="FS46" s="61"/>
      <c r="FT46" s="61"/>
      <c r="FU46" s="61"/>
      <c r="FV46" s="61"/>
      <c r="FW46" s="61"/>
      <c r="FX46" s="61"/>
      <c r="FY46" s="61"/>
      <c r="FZ46" s="61"/>
      <c r="GA46" s="61"/>
      <c r="GB46" s="61"/>
      <c r="GC46" s="61"/>
      <c r="GD46" s="61"/>
      <c r="GE46" s="61"/>
      <c r="GF46" s="61"/>
      <c r="GG46" s="61"/>
      <c r="GH46" s="61"/>
      <c r="GI46" s="61"/>
      <c r="GJ46" s="61"/>
      <c r="GK46" s="61"/>
      <c r="GL46" s="61"/>
      <c r="GM46" s="61"/>
      <c r="GN46" s="61"/>
      <c r="GO46" s="61"/>
      <c r="GP46" s="61"/>
      <c r="GQ46" s="61"/>
      <c r="GR46" s="61"/>
      <c r="GS46" s="61"/>
      <c r="GT46" s="61"/>
      <c r="GU46" s="61"/>
      <c r="GV46" s="61"/>
      <c r="GW46" s="61"/>
      <c r="GX46" s="61"/>
      <c r="GY46" s="61"/>
      <c r="GZ46" s="61"/>
      <c r="HA46" s="61"/>
      <c r="HB46" s="61"/>
      <c r="HC46" s="61"/>
      <c r="HD46" s="61"/>
      <c r="HE46" s="61"/>
      <c r="HF46" s="61"/>
      <c r="HG46" s="61"/>
      <c r="HH46" s="61"/>
      <c r="HI46" s="61"/>
      <c r="HJ46" s="61"/>
      <c r="HK46" s="61"/>
      <c r="HL46" s="61"/>
      <c r="HM46" s="61"/>
      <c r="HN46" s="61"/>
    </row>
    <row r="47" spans="1:222" s="64" customFormat="1" ht="27.9" customHeight="1">
      <c r="A47" s="89">
        <v>45</v>
      </c>
      <c r="B47" s="99">
        <v>193</v>
      </c>
      <c r="C47" s="112" t="s">
        <v>102</v>
      </c>
      <c r="D47" s="99" t="s">
        <v>104</v>
      </c>
      <c r="E47" s="95" t="s">
        <v>93</v>
      </c>
      <c r="F47" s="102"/>
      <c r="G47" s="103"/>
      <c r="H47" s="104"/>
      <c r="I47" s="103"/>
      <c r="J47" s="103"/>
      <c r="K47" s="103"/>
      <c r="L47" s="103"/>
      <c r="M47" s="103"/>
      <c r="N47" s="103"/>
      <c r="O47" s="104"/>
      <c r="P47" s="103"/>
      <c r="Q47" s="103"/>
      <c r="R47" s="108"/>
      <c r="S47" s="103"/>
      <c r="T47" s="73"/>
      <c r="U47" s="73"/>
      <c r="V47" s="73"/>
      <c r="W47" s="73"/>
      <c r="X47" s="164">
        <v>2</v>
      </c>
      <c r="Y47" s="153">
        <v>2</v>
      </c>
      <c r="Z47" s="153"/>
      <c r="AA47" s="153"/>
      <c r="AB47" s="153">
        <v>2</v>
      </c>
      <c r="AC47" s="113">
        <v>2</v>
      </c>
      <c r="AD47" s="113">
        <v>2</v>
      </c>
      <c r="AE47" s="165" t="s">
        <v>134</v>
      </c>
      <c r="AF47" s="165" t="s">
        <v>134</v>
      </c>
      <c r="AG47" s="113"/>
      <c r="AH47" s="113">
        <v>2</v>
      </c>
      <c r="AI47" s="153">
        <v>2</v>
      </c>
      <c r="AJ47" s="113">
        <v>2</v>
      </c>
      <c r="AK47" s="152"/>
      <c r="AL47" s="153">
        <v>2</v>
      </c>
      <c r="AM47" s="113">
        <v>3</v>
      </c>
      <c r="AN47" s="150">
        <v>2</v>
      </c>
      <c r="AO47" s="153"/>
      <c r="AP47" s="113">
        <v>2</v>
      </c>
      <c r="AQ47" s="149"/>
      <c r="AR47" s="113"/>
      <c r="AS47" s="153"/>
      <c r="AT47" s="153"/>
      <c r="AU47" s="150"/>
      <c r="AV47" s="113"/>
      <c r="AW47" s="113"/>
      <c r="AX47" s="155"/>
      <c r="AY47" s="113"/>
      <c r="AZ47" s="113"/>
      <c r="BA47" s="154"/>
      <c r="BB47" s="150"/>
      <c r="BC47" s="153"/>
      <c r="BD47" s="113"/>
      <c r="BE47" s="128"/>
      <c r="BF47" s="110"/>
      <c r="BG47" s="110"/>
      <c r="BH47" s="123"/>
      <c r="BI47" s="110"/>
      <c r="BJ47" s="110"/>
      <c r="BK47" s="110"/>
      <c r="BL47" s="110"/>
      <c r="BM47" s="110"/>
      <c r="BN47" s="110"/>
      <c r="BO47" s="123"/>
      <c r="BP47" s="110"/>
      <c r="BQ47" s="124"/>
      <c r="BR47" s="121">
        <f t="shared" si="2"/>
        <v>25</v>
      </c>
      <c r="BS47" s="122">
        <f t="shared" si="3"/>
        <v>2</v>
      </c>
      <c r="BT47" s="130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  <c r="DH47" s="61"/>
      <c r="DI47" s="61"/>
      <c r="DJ47" s="61"/>
      <c r="DK47" s="61"/>
      <c r="DL47" s="61"/>
      <c r="DM47" s="61"/>
      <c r="DN47" s="61"/>
      <c r="DO47" s="61"/>
      <c r="DP47" s="61"/>
      <c r="DQ47" s="61"/>
      <c r="DR47" s="61"/>
      <c r="DS47" s="61"/>
      <c r="DT47" s="61"/>
      <c r="DU47" s="61"/>
      <c r="DV47" s="61"/>
      <c r="DW47" s="61"/>
      <c r="DX47" s="61"/>
      <c r="DY47" s="61"/>
      <c r="DZ47" s="61"/>
      <c r="EA47" s="61"/>
      <c r="EB47" s="61"/>
      <c r="EC47" s="61"/>
      <c r="ED47" s="61"/>
      <c r="EE47" s="61"/>
      <c r="EF47" s="61"/>
      <c r="EG47" s="61"/>
      <c r="EH47" s="61"/>
      <c r="EI47" s="61"/>
      <c r="EJ47" s="61"/>
      <c r="EK47" s="61"/>
      <c r="EL47" s="61"/>
      <c r="EM47" s="61"/>
      <c r="EN47" s="61"/>
      <c r="EO47" s="61"/>
      <c r="EP47" s="61"/>
      <c r="EQ47" s="61"/>
      <c r="ER47" s="61"/>
      <c r="ES47" s="61"/>
      <c r="ET47" s="61"/>
      <c r="EU47" s="61"/>
      <c r="EV47" s="61"/>
      <c r="EW47" s="61"/>
      <c r="EX47" s="61"/>
      <c r="EY47" s="61"/>
      <c r="EZ47" s="61"/>
      <c r="FA47" s="61"/>
      <c r="FB47" s="61"/>
      <c r="FC47" s="61"/>
      <c r="FD47" s="61"/>
      <c r="FE47" s="61"/>
      <c r="FF47" s="61"/>
      <c r="FG47" s="61"/>
      <c r="FH47" s="61"/>
      <c r="FI47" s="61"/>
      <c r="FJ47" s="61"/>
      <c r="FK47" s="61"/>
      <c r="FL47" s="61"/>
      <c r="FM47" s="61"/>
      <c r="FN47" s="61"/>
      <c r="FO47" s="61"/>
      <c r="FP47" s="61"/>
      <c r="FQ47" s="61"/>
      <c r="FR47" s="61"/>
      <c r="FS47" s="61"/>
      <c r="FT47" s="61"/>
      <c r="FU47" s="61"/>
      <c r="FV47" s="61"/>
      <c r="FW47" s="61"/>
      <c r="FX47" s="61"/>
      <c r="FY47" s="61"/>
      <c r="FZ47" s="61"/>
      <c r="GA47" s="61"/>
      <c r="GB47" s="61"/>
      <c r="GC47" s="61"/>
      <c r="GD47" s="61"/>
      <c r="GE47" s="61"/>
      <c r="GF47" s="61"/>
      <c r="GG47" s="61"/>
      <c r="GH47" s="61"/>
      <c r="GI47" s="61"/>
      <c r="GJ47" s="61"/>
      <c r="GK47" s="61"/>
      <c r="GL47" s="61"/>
      <c r="GM47" s="61"/>
      <c r="GN47" s="61"/>
      <c r="GO47" s="61"/>
      <c r="GP47" s="61"/>
      <c r="GQ47" s="61"/>
      <c r="GR47" s="61"/>
      <c r="GS47" s="61"/>
      <c r="GT47" s="61"/>
      <c r="GU47" s="61"/>
      <c r="GV47" s="61"/>
      <c r="GW47" s="61"/>
      <c r="GX47" s="61"/>
      <c r="GY47" s="61"/>
      <c r="GZ47" s="61"/>
      <c r="HA47" s="61"/>
      <c r="HB47" s="61"/>
      <c r="HC47" s="61"/>
      <c r="HD47" s="61"/>
      <c r="HE47" s="61"/>
      <c r="HF47" s="61"/>
      <c r="HG47" s="61"/>
      <c r="HH47" s="61"/>
      <c r="HI47" s="61"/>
      <c r="HJ47" s="61"/>
      <c r="HK47" s="61"/>
      <c r="HL47" s="61"/>
      <c r="HM47" s="61"/>
      <c r="HN47" s="61"/>
    </row>
    <row r="48" spans="1:222" s="64" customFormat="1" ht="27.9" customHeight="1">
      <c r="A48" s="89">
        <v>46</v>
      </c>
      <c r="B48" s="99">
        <v>194</v>
      </c>
      <c r="C48" s="94" t="s">
        <v>103</v>
      </c>
      <c r="D48" s="99" t="s">
        <v>104</v>
      </c>
      <c r="E48" s="95" t="s">
        <v>93</v>
      </c>
      <c r="F48" s="102"/>
      <c r="G48" s="103"/>
      <c r="H48" s="104"/>
      <c r="I48" s="103"/>
      <c r="J48" s="103"/>
      <c r="K48" s="103"/>
      <c r="L48" s="103"/>
      <c r="M48" s="103"/>
      <c r="N48" s="103"/>
      <c r="O48" s="104"/>
      <c r="P48" s="103"/>
      <c r="Q48" s="103"/>
      <c r="R48" s="108"/>
      <c r="S48" s="103"/>
      <c r="T48" s="73"/>
      <c r="U48" s="73"/>
      <c r="V48" s="73"/>
      <c r="W48" s="73"/>
      <c r="X48" s="164">
        <v>2</v>
      </c>
      <c r="Y48" s="153">
        <v>2</v>
      </c>
      <c r="Z48" s="153">
        <v>6</v>
      </c>
      <c r="AA48" s="153"/>
      <c r="AB48" s="153">
        <v>2</v>
      </c>
      <c r="AC48" s="113">
        <v>2</v>
      </c>
      <c r="AD48" s="165" t="s">
        <v>134</v>
      </c>
      <c r="AE48" s="154">
        <v>2</v>
      </c>
      <c r="AF48" s="153">
        <v>2</v>
      </c>
      <c r="AG48" s="113"/>
      <c r="AH48" s="113">
        <v>2</v>
      </c>
      <c r="AI48" s="153">
        <v>2</v>
      </c>
      <c r="AJ48" s="113">
        <v>2</v>
      </c>
      <c r="AK48" s="152"/>
      <c r="AL48" s="153">
        <v>2</v>
      </c>
      <c r="AM48" s="113">
        <v>3</v>
      </c>
      <c r="AN48" s="153">
        <v>2</v>
      </c>
      <c r="AO48" s="113"/>
      <c r="AP48" s="113">
        <v>2</v>
      </c>
      <c r="AQ48" s="149"/>
      <c r="AR48" s="113"/>
      <c r="AS48" s="153"/>
      <c r="AT48" s="113"/>
      <c r="AU48" s="153"/>
      <c r="AV48" s="113"/>
      <c r="AW48" s="153"/>
      <c r="AX48" s="155"/>
      <c r="AY48" s="113"/>
      <c r="AZ48" s="113"/>
      <c r="BA48" s="154"/>
      <c r="BB48" s="150"/>
      <c r="BC48" s="113"/>
      <c r="BD48" s="113"/>
      <c r="BE48" s="128"/>
      <c r="BF48" s="110"/>
      <c r="BG48" s="110"/>
      <c r="BH48" s="123"/>
      <c r="BI48" s="110"/>
      <c r="BJ48" s="110"/>
      <c r="BK48" s="110"/>
      <c r="BL48" s="110"/>
      <c r="BM48" s="110"/>
      <c r="BN48" s="110"/>
      <c r="BO48" s="123"/>
      <c r="BP48" s="110"/>
      <c r="BQ48" s="124"/>
      <c r="BR48" s="121">
        <f t="shared" si="2"/>
        <v>33</v>
      </c>
      <c r="BS48" s="122">
        <f t="shared" si="3"/>
        <v>1</v>
      </c>
      <c r="BT48" s="130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  <c r="CF48" s="61"/>
      <c r="CG48" s="61"/>
      <c r="CH48" s="61"/>
      <c r="CI48" s="61"/>
      <c r="CJ48" s="61"/>
      <c r="CK48" s="61"/>
      <c r="CL48" s="61"/>
      <c r="CM48" s="61"/>
      <c r="CN48" s="61"/>
      <c r="CO48" s="61"/>
      <c r="CP48" s="61"/>
      <c r="CQ48" s="61"/>
      <c r="CR48" s="61"/>
      <c r="CS48" s="61"/>
      <c r="CT48" s="61"/>
      <c r="CU48" s="61"/>
      <c r="CV48" s="61"/>
      <c r="CW48" s="61"/>
      <c r="CX48" s="61"/>
      <c r="CY48" s="61"/>
      <c r="CZ48" s="61"/>
      <c r="DA48" s="61"/>
      <c r="DB48" s="61"/>
      <c r="DC48" s="61"/>
      <c r="DD48" s="61"/>
      <c r="DE48" s="61"/>
      <c r="DF48" s="61"/>
      <c r="DG48" s="61"/>
      <c r="DH48" s="61"/>
      <c r="DI48" s="61"/>
      <c r="DJ48" s="61"/>
      <c r="DK48" s="61"/>
      <c r="DL48" s="61"/>
      <c r="DM48" s="61"/>
      <c r="DN48" s="61"/>
      <c r="DO48" s="61"/>
      <c r="DP48" s="61"/>
      <c r="DQ48" s="61"/>
      <c r="DR48" s="61"/>
      <c r="DS48" s="61"/>
      <c r="DT48" s="61"/>
      <c r="DU48" s="61"/>
      <c r="DV48" s="61"/>
      <c r="DW48" s="61"/>
      <c r="DX48" s="61"/>
      <c r="DY48" s="61"/>
      <c r="DZ48" s="61"/>
      <c r="EA48" s="61"/>
      <c r="EB48" s="61"/>
      <c r="EC48" s="61"/>
      <c r="ED48" s="61"/>
      <c r="EE48" s="61"/>
      <c r="EF48" s="61"/>
      <c r="EG48" s="61"/>
      <c r="EH48" s="61"/>
      <c r="EI48" s="61"/>
      <c r="EJ48" s="61"/>
      <c r="EK48" s="61"/>
      <c r="EL48" s="61"/>
      <c r="EM48" s="61"/>
      <c r="EN48" s="61"/>
      <c r="EO48" s="61"/>
      <c r="EP48" s="61"/>
      <c r="EQ48" s="61"/>
      <c r="ER48" s="61"/>
      <c r="ES48" s="61"/>
      <c r="ET48" s="61"/>
      <c r="EU48" s="61"/>
      <c r="EV48" s="61"/>
      <c r="EW48" s="61"/>
      <c r="EX48" s="61"/>
      <c r="EY48" s="61"/>
      <c r="EZ48" s="61"/>
      <c r="FA48" s="61"/>
      <c r="FB48" s="61"/>
      <c r="FC48" s="61"/>
      <c r="FD48" s="61"/>
      <c r="FE48" s="61"/>
      <c r="FF48" s="61"/>
      <c r="FG48" s="61"/>
      <c r="FH48" s="61"/>
      <c r="FI48" s="61"/>
      <c r="FJ48" s="61"/>
      <c r="FK48" s="61"/>
      <c r="FL48" s="61"/>
      <c r="FM48" s="61"/>
      <c r="FN48" s="61"/>
      <c r="FO48" s="61"/>
      <c r="FP48" s="61"/>
      <c r="FQ48" s="61"/>
      <c r="FR48" s="61"/>
      <c r="FS48" s="61"/>
      <c r="FT48" s="61"/>
      <c r="FU48" s="61"/>
      <c r="FV48" s="61"/>
      <c r="FW48" s="61"/>
      <c r="FX48" s="61"/>
      <c r="FY48" s="61"/>
      <c r="FZ48" s="61"/>
      <c r="GA48" s="61"/>
      <c r="GB48" s="61"/>
      <c r="GC48" s="61"/>
      <c r="GD48" s="61"/>
      <c r="GE48" s="61"/>
      <c r="GF48" s="61"/>
      <c r="GG48" s="61"/>
      <c r="GH48" s="61"/>
      <c r="GI48" s="61"/>
      <c r="GJ48" s="61"/>
      <c r="GK48" s="61"/>
      <c r="GL48" s="61"/>
      <c r="GM48" s="61"/>
      <c r="GN48" s="61"/>
      <c r="GO48" s="61"/>
      <c r="GP48" s="61"/>
      <c r="GQ48" s="61"/>
      <c r="GR48" s="61"/>
      <c r="GS48" s="61"/>
      <c r="GT48" s="61"/>
      <c r="GU48" s="61"/>
      <c r="GV48" s="61"/>
      <c r="GW48" s="61"/>
      <c r="GX48" s="61"/>
      <c r="GY48" s="61"/>
      <c r="GZ48" s="61"/>
      <c r="HA48" s="61"/>
      <c r="HB48" s="61"/>
      <c r="HC48" s="61"/>
      <c r="HD48" s="61"/>
      <c r="HE48" s="61"/>
      <c r="HF48" s="61"/>
      <c r="HG48" s="61"/>
      <c r="HH48" s="61"/>
      <c r="HI48" s="61"/>
      <c r="HJ48" s="61"/>
      <c r="HK48" s="61"/>
      <c r="HL48" s="61"/>
      <c r="HM48" s="61"/>
      <c r="HN48" s="61"/>
    </row>
    <row r="49" spans="1:222" s="64" customFormat="1" ht="27.9" customHeight="1">
      <c r="A49" s="89">
        <v>47</v>
      </c>
      <c r="B49" s="93">
        <v>195</v>
      </c>
      <c r="C49" s="94" t="s">
        <v>14</v>
      </c>
      <c r="D49" s="93" t="s">
        <v>5</v>
      </c>
      <c r="E49" s="95" t="s">
        <v>93</v>
      </c>
      <c r="F49" s="74"/>
      <c r="G49" s="75"/>
      <c r="H49" s="76"/>
      <c r="I49" s="75"/>
      <c r="J49" s="75"/>
      <c r="K49" s="75"/>
      <c r="L49" s="75"/>
      <c r="M49" s="75"/>
      <c r="N49" s="75"/>
      <c r="O49" s="76"/>
      <c r="P49" s="75"/>
      <c r="Q49" s="75"/>
      <c r="R49" s="106"/>
      <c r="S49" s="103"/>
      <c r="T49" s="73"/>
      <c r="U49" s="113"/>
      <c r="V49" s="113"/>
      <c r="W49" s="113"/>
      <c r="X49" s="164">
        <v>2</v>
      </c>
      <c r="Y49" s="153">
        <v>2</v>
      </c>
      <c r="Z49" s="153"/>
      <c r="AA49" s="153"/>
      <c r="AB49" s="153">
        <v>2</v>
      </c>
      <c r="AC49" s="153">
        <v>2</v>
      </c>
      <c r="AD49" s="153">
        <v>2</v>
      </c>
      <c r="AE49" s="113">
        <v>2</v>
      </c>
      <c r="AF49" s="153">
        <v>2</v>
      </c>
      <c r="AG49" s="113"/>
      <c r="AH49" s="113">
        <v>2</v>
      </c>
      <c r="AI49" s="165" t="s">
        <v>134</v>
      </c>
      <c r="AJ49" s="113">
        <v>2</v>
      </c>
      <c r="AK49" s="152"/>
      <c r="AL49" s="113">
        <v>2</v>
      </c>
      <c r="AM49" s="113">
        <v>2</v>
      </c>
      <c r="AN49" s="113">
        <v>2</v>
      </c>
      <c r="AO49" s="113">
        <v>6</v>
      </c>
      <c r="AP49" s="113">
        <v>2</v>
      </c>
      <c r="AQ49" s="149"/>
      <c r="AR49" s="113"/>
      <c r="AS49" s="153"/>
      <c r="AT49" s="113"/>
      <c r="AU49" s="113"/>
      <c r="AV49" s="153"/>
      <c r="AW49" s="113"/>
      <c r="AX49" s="155"/>
      <c r="AY49" s="113"/>
      <c r="AZ49" s="113"/>
      <c r="BA49" s="154"/>
      <c r="BB49" s="113"/>
      <c r="BC49" s="113"/>
      <c r="BD49" s="153"/>
      <c r="BE49" s="113"/>
      <c r="BF49" s="110"/>
      <c r="BG49" s="110"/>
      <c r="BH49" s="123"/>
      <c r="BI49" s="110"/>
      <c r="BJ49" s="110"/>
      <c r="BK49" s="110"/>
      <c r="BL49" s="110"/>
      <c r="BM49" s="110"/>
      <c r="BN49" s="110"/>
      <c r="BO49" s="123"/>
      <c r="BP49" s="110"/>
      <c r="BQ49" s="124"/>
      <c r="BR49" s="121">
        <f t="shared" si="2"/>
        <v>32</v>
      </c>
      <c r="BS49" s="122">
        <f t="shared" si="3"/>
        <v>1</v>
      </c>
      <c r="BT49" s="130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61"/>
      <c r="CL49" s="61"/>
      <c r="CM49" s="61"/>
      <c r="CN49" s="61"/>
      <c r="CO49" s="61"/>
      <c r="CP49" s="61"/>
      <c r="CQ49" s="61"/>
      <c r="CR49" s="61"/>
      <c r="CS49" s="61"/>
      <c r="CT49" s="61"/>
      <c r="CU49" s="61"/>
      <c r="CV49" s="61"/>
      <c r="CW49" s="61"/>
      <c r="CX49" s="61"/>
      <c r="CY49" s="61"/>
      <c r="CZ49" s="61"/>
      <c r="DA49" s="61"/>
      <c r="DB49" s="61"/>
      <c r="DC49" s="61"/>
      <c r="DD49" s="61"/>
      <c r="DE49" s="61"/>
      <c r="DF49" s="61"/>
      <c r="DG49" s="61"/>
      <c r="DH49" s="61"/>
      <c r="DI49" s="61"/>
      <c r="DJ49" s="61"/>
      <c r="DK49" s="61"/>
      <c r="DL49" s="61"/>
      <c r="DM49" s="61"/>
      <c r="DN49" s="61"/>
      <c r="DO49" s="61"/>
      <c r="DP49" s="61"/>
      <c r="DQ49" s="61"/>
      <c r="DR49" s="61"/>
      <c r="DS49" s="61"/>
      <c r="DT49" s="61"/>
      <c r="DU49" s="61"/>
      <c r="DV49" s="61"/>
      <c r="DW49" s="61"/>
      <c r="DX49" s="61"/>
      <c r="DY49" s="61"/>
      <c r="DZ49" s="61"/>
      <c r="EA49" s="61"/>
      <c r="EB49" s="61"/>
      <c r="EC49" s="61"/>
      <c r="ED49" s="61"/>
      <c r="EE49" s="61"/>
      <c r="EF49" s="61"/>
      <c r="EG49" s="61"/>
      <c r="EH49" s="61"/>
      <c r="EI49" s="61"/>
      <c r="EJ49" s="61"/>
      <c r="EK49" s="61"/>
      <c r="EL49" s="61"/>
      <c r="EM49" s="61"/>
      <c r="EN49" s="61"/>
      <c r="EO49" s="61"/>
      <c r="EP49" s="61"/>
      <c r="EQ49" s="61"/>
      <c r="ER49" s="61"/>
      <c r="ES49" s="61"/>
      <c r="ET49" s="61"/>
      <c r="EU49" s="61"/>
      <c r="EV49" s="61"/>
      <c r="EW49" s="61"/>
      <c r="EX49" s="61"/>
      <c r="EY49" s="61"/>
      <c r="EZ49" s="61"/>
      <c r="FA49" s="61"/>
      <c r="FB49" s="61"/>
      <c r="FC49" s="61"/>
      <c r="FD49" s="61"/>
      <c r="FE49" s="61"/>
      <c r="FF49" s="61"/>
      <c r="FG49" s="61"/>
      <c r="FH49" s="61"/>
      <c r="FI49" s="61"/>
      <c r="FJ49" s="61"/>
      <c r="FK49" s="61"/>
      <c r="FL49" s="61"/>
      <c r="FM49" s="61"/>
      <c r="FN49" s="61"/>
      <c r="FO49" s="61"/>
      <c r="FP49" s="61"/>
      <c r="FQ49" s="61"/>
      <c r="FR49" s="61"/>
      <c r="FS49" s="61"/>
      <c r="FT49" s="61"/>
      <c r="FU49" s="61"/>
      <c r="FV49" s="61"/>
      <c r="FW49" s="61"/>
      <c r="FX49" s="61"/>
      <c r="FY49" s="61"/>
      <c r="FZ49" s="61"/>
      <c r="GA49" s="61"/>
      <c r="GB49" s="61"/>
      <c r="GC49" s="61"/>
      <c r="GD49" s="61"/>
      <c r="GE49" s="61"/>
      <c r="GF49" s="61"/>
      <c r="GG49" s="61"/>
      <c r="GH49" s="61"/>
      <c r="GI49" s="61"/>
      <c r="GJ49" s="61"/>
      <c r="GK49" s="61"/>
      <c r="GL49" s="61"/>
      <c r="GM49" s="61"/>
      <c r="GN49" s="61"/>
      <c r="GO49" s="61"/>
      <c r="GP49" s="61"/>
      <c r="GQ49" s="61"/>
      <c r="GR49" s="61"/>
      <c r="GS49" s="61"/>
      <c r="GT49" s="61"/>
      <c r="GU49" s="61"/>
      <c r="GV49" s="61"/>
      <c r="GW49" s="61"/>
      <c r="GX49" s="61"/>
      <c r="GY49" s="61"/>
      <c r="GZ49" s="61"/>
      <c r="HA49" s="61"/>
      <c r="HB49" s="61"/>
      <c r="HC49" s="61"/>
      <c r="HD49" s="61"/>
      <c r="HE49" s="61"/>
      <c r="HF49" s="61"/>
      <c r="HG49" s="61"/>
      <c r="HH49" s="61"/>
      <c r="HI49" s="61"/>
      <c r="HJ49" s="61"/>
      <c r="HK49" s="61"/>
      <c r="HL49" s="61"/>
      <c r="HM49" s="61"/>
      <c r="HN49" s="61"/>
    </row>
    <row r="50" spans="1:222" s="64" customFormat="1" ht="27.9" customHeight="1">
      <c r="A50" s="89">
        <v>48</v>
      </c>
      <c r="B50" s="93">
        <v>210</v>
      </c>
      <c r="C50" s="94" t="s">
        <v>16</v>
      </c>
      <c r="D50" s="93" t="s">
        <v>5</v>
      </c>
      <c r="E50" s="95" t="s">
        <v>93</v>
      </c>
      <c r="F50" s="74"/>
      <c r="G50" s="75"/>
      <c r="H50" s="76"/>
      <c r="I50" s="75"/>
      <c r="J50" s="75"/>
      <c r="K50" s="75"/>
      <c r="L50" s="75"/>
      <c r="M50" s="75"/>
      <c r="N50" s="75"/>
      <c r="O50" s="76"/>
      <c r="P50" s="75"/>
      <c r="Q50" s="75"/>
      <c r="R50" s="106"/>
      <c r="S50" s="103"/>
      <c r="T50" s="73"/>
      <c r="U50" s="73"/>
      <c r="V50" s="104"/>
      <c r="W50" s="73"/>
      <c r="X50" s="164">
        <v>2</v>
      </c>
      <c r="Y50" s="153">
        <v>2</v>
      </c>
      <c r="Z50" s="153">
        <v>6</v>
      </c>
      <c r="AA50" s="153"/>
      <c r="AB50" s="153">
        <v>2</v>
      </c>
      <c r="AC50" s="153">
        <v>2</v>
      </c>
      <c r="AD50" s="153">
        <v>2</v>
      </c>
      <c r="AE50" s="154">
        <v>2</v>
      </c>
      <c r="AF50" s="153">
        <v>2</v>
      </c>
      <c r="AG50" s="113"/>
      <c r="AH50" s="113">
        <v>2</v>
      </c>
      <c r="AI50" s="153">
        <v>2</v>
      </c>
      <c r="AJ50" s="113">
        <v>2</v>
      </c>
      <c r="AK50" s="152"/>
      <c r="AL50" s="153">
        <v>2</v>
      </c>
      <c r="AM50" s="113">
        <v>2</v>
      </c>
      <c r="AN50" s="113">
        <v>2</v>
      </c>
      <c r="AO50" s="153">
        <v>6</v>
      </c>
      <c r="AP50" s="113">
        <v>2</v>
      </c>
      <c r="AQ50" s="149"/>
      <c r="AR50" s="153"/>
      <c r="AS50" s="153"/>
      <c r="AT50" s="153"/>
      <c r="AU50" s="113"/>
      <c r="AV50" s="153"/>
      <c r="AW50" s="113"/>
      <c r="AX50" s="155"/>
      <c r="AY50" s="113"/>
      <c r="AZ50" s="113"/>
      <c r="BA50" s="154"/>
      <c r="BB50" s="113"/>
      <c r="BC50" s="113"/>
      <c r="BD50" s="113"/>
      <c r="BE50" s="113"/>
      <c r="BF50" s="110"/>
      <c r="BG50" s="110"/>
      <c r="BH50" s="123"/>
      <c r="BI50" s="110"/>
      <c r="BJ50" s="110"/>
      <c r="BK50" s="110"/>
      <c r="BL50" s="110"/>
      <c r="BM50" s="110"/>
      <c r="BN50" s="110"/>
      <c r="BO50" s="123"/>
      <c r="BP50" s="110"/>
      <c r="BQ50" s="124"/>
      <c r="BR50" s="121">
        <f t="shared" si="2"/>
        <v>40</v>
      </c>
      <c r="BS50" s="122">
        <f t="shared" si="3"/>
        <v>0</v>
      </c>
      <c r="BT50" s="130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61"/>
      <c r="CL50" s="61"/>
      <c r="CM50" s="61"/>
      <c r="CN50" s="61"/>
      <c r="CO50" s="61"/>
      <c r="CP50" s="61"/>
      <c r="CQ50" s="61"/>
      <c r="CR50" s="61"/>
      <c r="CS50" s="61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  <c r="DH50" s="61"/>
      <c r="DI50" s="61"/>
      <c r="DJ50" s="61"/>
      <c r="DK50" s="61"/>
      <c r="DL50" s="61"/>
      <c r="DM50" s="61"/>
      <c r="DN50" s="61"/>
      <c r="DO50" s="61"/>
      <c r="DP50" s="61"/>
      <c r="DQ50" s="61"/>
      <c r="DR50" s="61"/>
      <c r="DS50" s="61"/>
      <c r="DT50" s="61"/>
      <c r="DU50" s="61"/>
      <c r="DV50" s="61"/>
      <c r="DW50" s="61"/>
      <c r="DX50" s="61"/>
      <c r="DY50" s="61"/>
      <c r="DZ50" s="61"/>
      <c r="EA50" s="61"/>
      <c r="EB50" s="61"/>
      <c r="EC50" s="61"/>
      <c r="ED50" s="61"/>
      <c r="EE50" s="61"/>
      <c r="EF50" s="61"/>
      <c r="EG50" s="61"/>
      <c r="EH50" s="61"/>
      <c r="EI50" s="61"/>
      <c r="EJ50" s="61"/>
      <c r="EK50" s="61"/>
      <c r="EL50" s="61"/>
      <c r="EM50" s="61"/>
      <c r="EN50" s="61"/>
      <c r="EO50" s="61"/>
      <c r="EP50" s="61"/>
      <c r="EQ50" s="61"/>
      <c r="ER50" s="61"/>
      <c r="ES50" s="61"/>
      <c r="ET50" s="61"/>
      <c r="EU50" s="61"/>
      <c r="EV50" s="61"/>
      <c r="EW50" s="61"/>
      <c r="EX50" s="61"/>
      <c r="EY50" s="61"/>
      <c r="EZ50" s="61"/>
      <c r="FA50" s="61"/>
      <c r="FB50" s="61"/>
      <c r="FC50" s="61"/>
      <c r="FD50" s="61"/>
      <c r="FE50" s="61"/>
      <c r="FF50" s="61"/>
      <c r="FG50" s="61"/>
      <c r="FH50" s="61"/>
      <c r="FI50" s="61"/>
      <c r="FJ50" s="61"/>
      <c r="FK50" s="61"/>
      <c r="FL50" s="61"/>
      <c r="FM50" s="61"/>
      <c r="FN50" s="61"/>
      <c r="FO50" s="61"/>
      <c r="FP50" s="61"/>
      <c r="FQ50" s="61"/>
      <c r="FR50" s="61"/>
      <c r="FS50" s="61"/>
      <c r="FT50" s="61"/>
      <c r="FU50" s="61"/>
      <c r="FV50" s="61"/>
      <c r="FW50" s="61"/>
      <c r="FX50" s="61"/>
      <c r="FY50" s="61"/>
      <c r="FZ50" s="61"/>
      <c r="GA50" s="61"/>
      <c r="GB50" s="61"/>
      <c r="GC50" s="61"/>
      <c r="GD50" s="61"/>
      <c r="GE50" s="61"/>
      <c r="GF50" s="61"/>
      <c r="GG50" s="61"/>
      <c r="GH50" s="61"/>
      <c r="GI50" s="61"/>
      <c r="GJ50" s="61"/>
      <c r="GK50" s="61"/>
      <c r="GL50" s="61"/>
      <c r="GM50" s="61"/>
      <c r="GN50" s="61"/>
      <c r="GO50" s="61"/>
      <c r="GP50" s="61"/>
      <c r="GQ50" s="61"/>
      <c r="GR50" s="61"/>
      <c r="GS50" s="61"/>
      <c r="GT50" s="61"/>
      <c r="GU50" s="61"/>
      <c r="GV50" s="61"/>
      <c r="GW50" s="61"/>
      <c r="GX50" s="61"/>
      <c r="GY50" s="61"/>
      <c r="GZ50" s="61"/>
      <c r="HA50" s="61"/>
      <c r="HB50" s="61"/>
      <c r="HC50" s="61"/>
      <c r="HD50" s="61"/>
      <c r="HE50" s="61"/>
      <c r="HF50" s="61"/>
      <c r="HG50" s="61"/>
      <c r="HH50" s="61"/>
      <c r="HI50" s="61"/>
      <c r="HJ50" s="61"/>
      <c r="HK50" s="61"/>
      <c r="HL50" s="61"/>
      <c r="HM50" s="61"/>
      <c r="HN50" s="61"/>
    </row>
    <row r="51" spans="1:222" s="64" customFormat="1" ht="27.9" customHeight="1">
      <c r="A51" s="89">
        <v>49</v>
      </c>
      <c r="B51" s="99">
        <v>216</v>
      </c>
      <c r="C51" s="100" t="s">
        <v>55</v>
      </c>
      <c r="D51" s="99" t="s">
        <v>15</v>
      </c>
      <c r="E51" s="95" t="s">
        <v>93</v>
      </c>
      <c r="F51" s="102"/>
      <c r="G51" s="103"/>
      <c r="H51" s="104"/>
      <c r="I51" s="103"/>
      <c r="J51" s="103"/>
      <c r="K51" s="103"/>
      <c r="L51" s="103"/>
      <c r="M51" s="103"/>
      <c r="N51" s="103"/>
      <c r="O51" s="104"/>
      <c r="P51" s="103"/>
      <c r="Q51" s="103"/>
      <c r="R51" s="104"/>
      <c r="S51" s="103"/>
      <c r="T51" s="73"/>
      <c r="U51" s="73"/>
      <c r="V51" s="73"/>
      <c r="W51" s="73"/>
      <c r="X51" s="164">
        <v>4</v>
      </c>
      <c r="Y51" s="153">
        <v>4</v>
      </c>
      <c r="Z51" s="113">
        <v>6</v>
      </c>
      <c r="AA51" s="153">
        <v>4</v>
      </c>
      <c r="AB51" s="153">
        <v>4</v>
      </c>
      <c r="AC51" s="113">
        <v>4</v>
      </c>
      <c r="AD51" s="113">
        <v>4</v>
      </c>
      <c r="AE51" s="154">
        <v>4</v>
      </c>
      <c r="AF51" s="153">
        <v>4</v>
      </c>
      <c r="AG51" s="153">
        <v>6</v>
      </c>
      <c r="AH51" s="153">
        <v>4</v>
      </c>
      <c r="AI51" s="113">
        <v>4</v>
      </c>
      <c r="AJ51" s="113">
        <v>4</v>
      </c>
      <c r="AK51" s="152"/>
      <c r="AL51" s="113">
        <v>4</v>
      </c>
      <c r="AM51" s="113">
        <v>4</v>
      </c>
      <c r="AN51" s="150">
        <v>4</v>
      </c>
      <c r="AO51" s="113">
        <v>6</v>
      </c>
      <c r="AP51" s="113">
        <v>4</v>
      </c>
      <c r="AQ51" s="149"/>
      <c r="AR51" s="113"/>
      <c r="AS51" s="113"/>
      <c r="AT51" s="154"/>
      <c r="AU51" s="150"/>
      <c r="AV51" s="113"/>
      <c r="AW51" s="113"/>
      <c r="AX51" s="155"/>
      <c r="AY51" s="113"/>
      <c r="AZ51" s="113"/>
      <c r="BA51" s="154"/>
      <c r="BB51" s="150"/>
      <c r="BC51" s="113"/>
      <c r="BD51" s="113"/>
      <c r="BE51" s="128"/>
      <c r="BF51" s="110"/>
      <c r="BG51" s="110"/>
      <c r="BH51" s="123"/>
      <c r="BI51" s="110"/>
      <c r="BJ51" s="110"/>
      <c r="BK51" s="110"/>
      <c r="BL51" s="110"/>
      <c r="BM51" s="110"/>
      <c r="BN51" s="110"/>
      <c r="BO51" s="123"/>
      <c r="BP51" s="110"/>
      <c r="BQ51" s="124"/>
      <c r="BR51" s="121">
        <f t="shared" si="2"/>
        <v>78</v>
      </c>
      <c r="BS51" s="122">
        <f t="shared" si="3"/>
        <v>0</v>
      </c>
      <c r="BT51" s="115" t="s">
        <v>73</v>
      </c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  <c r="DI51" s="61"/>
      <c r="DJ51" s="61"/>
      <c r="DK51" s="61"/>
      <c r="DL51" s="61"/>
      <c r="DM51" s="61"/>
      <c r="DN51" s="61"/>
      <c r="DO51" s="61"/>
      <c r="DP51" s="61"/>
      <c r="DQ51" s="61"/>
      <c r="DR51" s="61"/>
      <c r="DS51" s="61"/>
      <c r="DT51" s="61"/>
      <c r="DU51" s="61"/>
      <c r="DV51" s="61"/>
      <c r="DW51" s="61"/>
      <c r="DX51" s="61"/>
      <c r="DY51" s="61"/>
      <c r="DZ51" s="61"/>
      <c r="EA51" s="61"/>
      <c r="EB51" s="61"/>
      <c r="EC51" s="61"/>
      <c r="ED51" s="61"/>
      <c r="EE51" s="61"/>
      <c r="EF51" s="61"/>
      <c r="EG51" s="61"/>
      <c r="EH51" s="61"/>
      <c r="EI51" s="61"/>
      <c r="EJ51" s="61"/>
      <c r="EK51" s="61"/>
      <c r="EL51" s="61"/>
      <c r="EM51" s="61"/>
      <c r="EN51" s="61"/>
      <c r="EO51" s="61"/>
      <c r="EP51" s="61"/>
      <c r="EQ51" s="61"/>
      <c r="ER51" s="61"/>
      <c r="ES51" s="61"/>
      <c r="ET51" s="61"/>
      <c r="EU51" s="61"/>
      <c r="EV51" s="61"/>
      <c r="EW51" s="61"/>
      <c r="EX51" s="61"/>
      <c r="EY51" s="61"/>
      <c r="EZ51" s="61"/>
      <c r="FA51" s="61"/>
      <c r="FB51" s="61"/>
      <c r="FC51" s="61"/>
      <c r="FD51" s="61"/>
      <c r="FE51" s="61"/>
      <c r="FF51" s="61"/>
      <c r="FG51" s="61"/>
      <c r="FH51" s="61"/>
      <c r="FI51" s="61"/>
      <c r="FJ51" s="61"/>
      <c r="FK51" s="61"/>
      <c r="FL51" s="61"/>
      <c r="FM51" s="61"/>
      <c r="FN51" s="61"/>
      <c r="FO51" s="61"/>
      <c r="FP51" s="61"/>
      <c r="FQ51" s="61"/>
      <c r="FR51" s="61"/>
      <c r="FS51" s="61"/>
      <c r="FT51" s="61"/>
      <c r="FU51" s="61"/>
      <c r="FV51" s="61"/>
      <c r="FW51" s="61"/>
      <c r="FX51" s="61"/>
      <c r="FY51" s="61"/>
      <c r="FZ51" s="61"/>
      <c r="GA51" s="61"/>
      <c r="GB51" s="61"/>
      <c r="GC51" s="61"/>
      <c r="GD51" s="61"/>
      <c r="GE51" s="61"/>
      <c r="GF51" s="61"/>
      <c r="GG51" s="61"/>
      <c r="GH51" s="61"/>
      <c r="GI51" s="61"/>
      <c r="GJ51" s="61"/>
      <c r="GK51" s="61"/>
      <c r="GL51" s="61"/>
      <c r="GM51" s="61"/>
      <c r="GN51" s="61"/>
      <c r="GO51" s="61"/>
      <c r="GP51" s="61"/>
      <c r="GQ51" s="61"/>
      <c r="GR51" s="61"/>
      <c r="GS51" s="61"/>
      <c r="GT51" s="61"/>
      <c r="GU51" s="61"/>
      <c r="GV51" s="61"/>
      <c r="GW51" s="61"/>
      <c r="GX51" s="61"/>
      <c r="GY51" s="61"/>
      <c r="GZ51" s="61"/>
      <c r="HA51" s="61"/>
      <c r="HB51" s="61"/>
      <c r="HC51" s="61"/>
      <c r="HD51" s="61"/>
      <c r="HE51" s="61"/>
      <c r="HF51" s="61"/>
      <c r="HG51" s="61"/>
      <c r="HH51" s="61"/>
      <c r="HI51" s="61"/>
      <c r="HJ51" s="61"/>
      <c r="HK51" s="61"/>
      <c r="HL51" s="61"/>
      <c r="HM51" s="61"/>
      <c r="HN51" s="61"/>
    </row>
    <row r="52" spans="1:222" s="64" customFormat="1" ht="27.9" customHeight="1">
      <c r="A52" s="89">
        <v>50</v>
      </c>
      <c r="B52" s="93">
        <v>230</v>
      </c>
      <c r="C52" s="94" t="s">
        <v>56</v>
      </c>
      <c r="D52" s="93" t="s">
        <v>5</v>
      </c>
      <c r="E52" s="95" t="s">
        <v>93</v>
      </c>
      <c r="F52" s="74"/>
      <c r="G52" s="75"/>
      <c r="H52" s="76"/>
      <c r="I52" s="75"/>
      <c r="J52" s="75"/>
      <c r="K52" s="75"/>
      <c r="L52" s="75"/>
      <c r="M52" s="75"/>
      <c r="N52" s="75"/>
      <c r="O52" s="76"/>
      <c r="P52" s="75"/>
      <c r="Q52" s="75"/>
      <c r="R52" s="106"/>
      <c r="S52" s="103"/>
      <c r="T52" s="73"/>
      <c r="U52" s="73"/>
      <c r="V52" s="104"/>
      <c r="W52" s="73"/>
      <c r="X52" s="164">
        <v>2</v>
      </c>
      <c r="Y52" s="153">
        <v>2</v>
      </c>
      <c r="Z52" s="113">
        <v>6</v>
      </c>
      <c r="AA52" s="113"/>
      <c r="AB52" s="153">
        <v>2</v>
      </c>
      <c r="AC52" s="113">
        <v>2</v>
      </c>
      <c r="AD52" s="165" t="s">
        <v>134</v>
      </c>
      <c r="AE52" s="154">
        <v>2</v>
      </c>
      <c r="AF52" s="153">
        <v>2</v>
      </c>
      <c r="AG52" s="113"/>
      <c r="AH52" s="113">
        <v>2</v>
      </c>
      <c r="AI52" s="153">
        <v>2</v>
      </c>
      <c r="AJ52" s="113">
        <v>2</v>
      </c>
      <c r="AK52" s="152"/>
      <c r="AL52" s="113">
        <v>2</v>
      </c>
      <c r="AM52" s="113">
        <v>2</v>
      </c>
      <c r="AN52" s="153">
        <v>2</v>
      </c>
      <c r="AO52" s="150">
        <v>6</v>
      </c>
      <c r="AP52" s="113">
        <v>2</v>
      </c>
      <c r="AQ52" s="149"/>
      <c r="AR52" s="113"/>
      <c r="AS52" s="153"/>
      <c r="AT52" s="154"/>
      <c r="AU52" s="153"/>
      <c r="AV52" s="113"/>
      <c r="AW52" s="113"/>
      <c r="AX52" s="155"/>
      <c r="AY52" s="155"/>
      <c r="AZ52" s="113"/>
      <c r="BA52" s="154"/>
      <c r="BB52" s="150"/>
      <c r="BC52" s="113"/>
      <c r="BD52" s="113"/>
      <c r="BE52" s="128"/>
      <c r="BF52" s="110"/>
      <c r="BG52" s="110"/>
      <c r="BH52" s="123"/>
      <c r="BI52" s="110"/>
      <c r="BJ52" s="110"/>
      <c r="BK52" s="110"/>
      <c r="BL52" s="110"/>
      <c r="BM52" s="110"/>
      <c r="BN52" s="110"/>
      <c r="BO52" s="123"/>
      <c r="BP52" s="110"/>
      <c r="BQ52" s="124"/>
      <c r="BR52" s="121">
        <f t="shared" si="2"/>
        <v>38</v>
      </c>
      <c r="BS52" s="122">
        <f t="shared" si="3"/>
        <v>1</v>
      </c>
      <c r="BT52" s="115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61"/>
      <c r="CL52" s="61"/>
      <c r="CM52" s="61"/>
      <c r="CN52" s="61"/>
      <c r="CO52" s="61"/>
      <c r="CP52" s="61"/>
      <c r="CQ52" s="61"/>
      <c r="CR52" s="61"/>
      <c r="CS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  <c r="DH52" s="61"/>
      <c r="DI52" s="61"/>
      <c r="DJ52" s="61"/>
      <c r="DK52" s="61"/>
      <c r="DL52" s="61"/>
      <c r="DM52" s="61"/>
      <c r="DN52" s="61"/>
      <c r="DO52" s="61"/>
      <c r="DP52" s="61"/>
      <c r="DQ52" s="61"/>
      <c r="DR52" s="61"/>
      <c r="DS52" s="61"/>
      <c r="DT52" s="61"/>
      <c r="DU52" s="61"/>
      <c r="DV52" s="61"/>
      <c r="DW52" s="61"/>
      <c r="DX52" s="61"/>
      <c r="DY52" s="61"/>
      <c r="DZ52" s="61"/>
      <c r="EA52" s="61"/>
      <c r="EB52" s="61"/>
      <c r="EC52" s="61"/>
      <c r="ED52" s="61"/>
      <c r="EE52" s="61"/>
      <c r="EF52" s="61"/>
      <c r="EG52" s="61"/>
      <c r="EH52" s="61"/>
      <c r="EI52" s="61"/>
      <c r="EJ52" s="61"/>
      <c r="EK52" s="61"/>
      <c r="EL52" s="61"/>
      <c r="EM52" s="61"/>
      <c r="EN52" s="61"/>
      <c r="EO52" s="61"/>
      <c r="EP52" s="61"/>
      <c r="EQ52" s="61"/>
      <c r="ER52" s="61"/>
      <c r="ES52" s="61"/>
      <c r="ET52" s="61"/>
      <c r="EU52" s="61"/>
      <c r="EV52" s="61"/>
      <c r="EW52" s="61"/>
      <c r="EX52" s="61"/>
      <c r="EY52" s="61"/>
      <c r="EZ52" s="61"/>
      <c r="FA52" s="61"/>
      <c r="FB52" s="61"/>
      <c r="FC52" s="61"/>
      <c r="FD52" s="61"/>
      <c r="FE52" s="61"/>
      <c r="FF52" s="61"/>
      <c r="FG52" s="61"/>
      <c r="FH52" s="61"/>
      <c r="FI52" s="61"/>
      <c r="FJ52" s="61"/>
      <c r="FK52" s="61"/>
      <c r="FL52" s="61"/>
      <c r="FM52" s="61"/>
      <c r="FN52" s="61"/>
      <c r="FO52" s="61"/>
      <c r="FP52" s="61"/>
      <c r="FQ52" s="61"/>
      <c r="FR52" s="61"/>
      <c r="FS52" s="61"/>
      <c r="FT52" s="61"/>
      <c r="FU52" s="61"/>
      <c r="FV52" s="61"/>
      <c r="FW52" s="61"/>
      <c r="FX52" s="61"/>
      <c r="FY52" s="61"/>
      <c r="FZ52" s="61"/>
      <c r="GA52" s="61"/>
      <c r="GB52" s="61"/>
      <c r="GC52" s="61"/>
      <c r="GD52" s="61"/>
      <c r="GE52" s="61"/>
      <c r="GF52" s="61"/>
      <c r="GG52" s="61"/>
      <c r="GH52" s="61"/>
      <c r="GI52" s="61"/>
      <c r="GJ52" s="61"/>
      <c r="GK52" s="61"/>
      <c r="GL52" s="61"/>
      <c r="GM52" s="61"/>
      <c r="GN52" s="61"/>
      <c r="GO52" s="61"/>
      <c r="GP52" s="61"/>
      <c r="GQ52" s="61"/>
      <c r="GR52" s="61"/>
      <c r="GS52" s="61"/>
      <c r="GT52" s="61"/>
      <c r="GU52" s="61"/>
      <c r="GV52" s="61"/>
      <c r="GW52" s="61"/>
      <c r="GX52" s="61"/>
      <c r="GY52" s="61"/>
      <c r="GZ52" s="61"/>
      <c r="HA52" s="61"/>
      <c r="HB52" s="61"/>
      <c r="HC52" s="61"/>
      <c r="HD52" s="61"/>
      <c r="HE52" s="61"/>
      <c r="HF52" s="61"/>
      <c r="HG52" s="61"/>
      <c r="HH52" s="61"/>
      <c r="HI52" s="61"/>
      <c r="HJ52" s="61"/>
      <c r="HK52" s="61"/>
      <c r="HL52" s="61"/>
      <c r="HM52" s="61"/>
      <c r="HN52" s="61"/>
    </row>
    <row r="53" spans="1:222" s="64" customFormat="1" ht="27.9" customHeight="1">
      <c r="A53" s="89">
        <v>51</v>
      </c>
      <c r="B53" s="93">
        <v>238</v>
      </c>
      <c r="C53" s="94" t="s">
        <v>57</v>
      </c>
      <c r="D53" s="93" t="s">
        <v>3</v>
      </c>
      <c r="E53" s="95" t="s">
        <v>93</v>
      </c>
      <c r="F53" s="74"/>
      <c r="G53" s="75"/>
      <c r="H53" s="76"/>
      <c r="I53" s="75"/>
      <c r="J53" s="75"/>
      <c r="K53" s="75"/>
      <c r="L53" s="75"/>
      <c r="M53" s="75"/>
      <c r="N53" s="75"/>
      <c r="O53" s="76"/>
      <c r="P53" s="75"/>
      <c r="Q53" s="75"/>
      <c r="R53" s="104"/>
      <c r="S53" s="103"/>
      <c r="T53" s="73"/>
      <c r="U53" s="73"/>
      <c r="V53" s="104"/>
      <c r="W53" s="73"/>
      <c r="X53" s="164">
        <v>2</v>
      </c>
      <c r="Y53" s="153">
        <v>2</v>
      </c>
      <c r="Z53" s="153">
        <v>6</v>
      </c>
      <c r="AA53" s="153"/>
      <c r="AB53" s="153">
        <v>2</v>
      </c>
      <c r="AC53" s="153">
        <v>2</v>
      </c>
      <c r="AD53" s="153">
        <v>2</v>
      </c>
      <c r="AE53" s="153">
        <v>2</v>
      </c>
      <c r="AF53" s="153">
        <v>2</v>
      </c>
      <c r="AG53" s="153"/>
      <c r="AH53" s="153">
        <v>2</v>
      </c>
      <c r="AI53" s="153">
        <v>2</v>
      </c>
      <c r="AJ53" s="113">
        <v>2</v>
      </c>
      <c r="AK53" s="152"/>
      <c r="AL53" s="153">
        <v>2</v>
      </c>
      <c r="AM53" s="153">
        <v>2</v>
      </c>
      <c r="AN53" s="153">
        <v>2</v>
      </c>
      <c r="AO53" s="153">
        <v>6</v>
      </c>
      <c r="AP53" s="153">
        <v>2</v>
      </c>
      <c r="AQ53" s="153"/>
      <c r="AR53" s="153"/>
      <c r="AS53" s="153"/>
      <c r="AT53" s="153"/>
      <c r="AU53" s="153"/>
      <c r="AV53" s="153"/>
      <c r="AW53" s="153"/>
      <c r="AX53" s="153"/>
      <c r="AY53" s="153"/>
      <c r="AZ53" s="153"/>
      <c r="BA53" s="153"/>
      <c r="BB53" s="153"/>
      <c r="BC53" s="153"/>
      <c r="BD53" s="153"/>
      <c r="BE53" s="153"/>
      <c r="BF53" s="110"/>
      <c r="BG53" s="110"/>
      <c r="BH53" s="123"/>
      <c r="BI53" s="110"/>
      <c r="BJ53" s="110"/>
      <c r="BK53" s="110"/>
      <c r="BL53" s="110"/>
      <c r="BM53" s="110"/>
      <c r="BN53" s="110"/>
      <c r="BO53" s="123"/>
      <c r="BP53" s="110"/>
      <c r="BQ53" s="124"/>
      <c r="BR53" s="121">
        <f t="shared" si="2"/>
        <v>40</v>
      </c>
      <c r="BS53" s="122">
        <f t="shared" si="3"/>
        <v>0</v>
      </c>
      <c r="BT53" s="147"/>
      <c r="BU53" s="61"/>
      <c r="BV53" s="61"/>
      <c r="BW53" s="61"/>
      <c r="BX53" s="61"/>
      <c r="BY53" s="61"/>
      <c r="BZ53" s="61"/>
      <c r="CA53" s="61"/>
      <c r="CB53" s="61"/>
      <c r="CC53" s="61"/>
      <c r="CD53" s="61"/>
      <c r="CE53" s="61"/>
      <c r="CF53" s="61"/>
      <c r="CG53" s="61"/>
      <c r="CH53" s="61"/>
      <c r="CI53" s="61"/>
      <c r="CJ53" s="61"/>
      <c r="CK53" s="61"/>
      <c r="CL53" s="61"/>
      <c r="CM53" s="61"/>
      <c r="CN53" s="61"/>
      <c r="CO53" s="61"/>
      <c r="CP53" s="61"/>
      <c r="CQ53" s="61"/>
      <c r="CR53" s="61"/>
      <c r="CS53" s="61"/>
      <c r="CT53" s="61"/>
      <c r="CU53" s="61"/>
      <c r="CV53" s="61"/>
      <c r="CW53" s="61"/>
      <c r="CX53" s="61"/>
      <c r="CY53" s="61"/>
      <c r="CZ53" s="61"/>
      <c r="DA53" s="61"/>
      <c r="DB53" s="61"/>
      <c r="DC53" s="61"/>
      <c r="DD53" s="61"/>
      <c r="DE53" s="61"/>
      <c r="DF53" s="61"/>
      <c r="DG53" s="61"/>
      <c r="DH53" s="61"/>
      <c r="DI53" s="61"/>
      <c r="DJ53" s="61"/>
      <c r="DK53" s="61"/>
      <c r="DL53" s="61"/>
      <c r="DM53" s="61"/>
      <c r="DN53" s="61"/>
      <c r="DO53" s="61"/>
      <c r="DP53" s="61"/>
      <c r="DQ53" s="61"/>
      <c r="DR53" s="61"/>
      <c r="DS53" s="61"/>
      <c r="DT53" s="61"/>
      <c r="DU53" s="61"/>
      <c r="DV53" s="61"/>
      <c r="DW53" s="61"/>
      <c r="DX53" s="61"/>
      <c r="DY53" s="61"/>
      <c r="DZ53" s="61"/>
      <c r="EA53" s="61"/>
      <c r="EB53" s="61"/>
      <c r="EC53" s="61"/>
      <c r="ED53" s="61"/>
      <c r="EE53" s="61"/>
      <c r="EF53" s="61"/>
      <c r="EG53" s="61"/>
      <c r="EH53" s="61"/>
      <c r="EI53" s="61"/>
      <c r="EJ53" s="61"/>
      <c r="EK53" s="61"/>
      <c r="EL53" s="61"/>
      <c r="EM53" s="61"/>
      <c r="EN53" s="61"/>
      <c r="EO53" s="61"/>
      <c r="EP53" s="61"/>
      <c r="EQ53" s="61"/>
      <c r="ER53" s="61"/>
      <c r="ES53" s="61"/>
      <c r="ET53" s="61"/>
      <c r="EU53" s="61"/>
      <c r="EV53" s="61"/>
      <c r="EW53" s="61"/>
      <c r="EX53" s="61"/>
      <c r="EY53" s="61"/>
      <c r="EZ53" s="61"/>
      <c r="FA53" s="61"/>
      <c r="FB53" s="61"/>
      <c r="FC53" s="61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61"/>
      <c r="FS53" s="61"/>
      <c r="FT53" s="61"/>
      <c r="FU53" s="61"/>
      <c r="FV53" s="61"/>
      <c r="FW53" s="61"/>
      <c r="FX53" s="61"/>
      <c r="FY53" s="61"/>
      <c r="FZ53" s="61"/>
      <c r="GA53" s="61"/>
      <c r="GB53" s="61"/>
      <c r="GC53" s="61"/>
      <c r="GD53" s="61"/>
      <c r="GE53" s="61"/>
      <c r="GF53" s="61"/>
      <c r="GG53" s="61"/>
      <c r="GH53" s="61"/>
      <c r="GI53" s="61"/>
      <c r="GJ53" s="61"/>
      <c r="GK53" s="61"/>
      <c r="GL53" s="61"/>
      <c r="GM53" s="61"/>
      <c r="GN53" s="61"/>
      <c r="GO53" s="61"/>
      <c r="GP53" s="61"/>
      <c r="GQ53" s="61"/>
      <c r="GR53" s="61"/>
      <c r="GS53" s="61"/>
      <c r="GT53" s="61"/>
      <c r="GU53" s="61"/>
      <c r="GV53" s="61"/>
      <c r="GW53" s="61"/>
      <c r="GX53" s="61"/>
      <c r="GY53" s="61"/>
      <c r="GZ53" s="61"/>
      <c r="HA53" s="61"/>
      <c r="HB53" s="61"/>
      <c r="HC53" s="61"/>
      <c r="HD53" s="61"/>
      <c r="HE53" s="61"/>
      <c r="HF53" s="61"/>
      <c r="HG53" s="61"/>
      <c r="HH53" s="61"/>
      <c r="HI53" s="61"/>
      <c r="HJ53" s="61"/>
      <c r="HK53" s="61"/>
      <c r="HL53" s="61"/>
      <c r="HM53" s="61"/>
      <c r="HN53" s="61"/>
    </row>
    <row r="54" spans="1:222" s="64" customFormat="1" ht="27.9" customHeight="1" thickBot="1">
      <c r="A54" s="89">
        <v>52</v>
      </c>
      <c r="B54" s="97">
        <v>241</v>
      </c>
      <c r="C54" s="98" t="s">
        <v>17</v>
      </c>
      <c r="D54" s="97" t="s">
        <v>5</v>
      </c>
      <c r="E54" s="95" t="s">
        <v>93</v>
      </c>
      <c r="F54" s="86"/>
      <c r="G54" s="87"/>
      <c r="H54" s="88"/>
      <c r="I54" s="87"/>
      <c r="J54" s="87"/>
      <c r="K54" s="87"/>
      <c r="L54" s="87"/>
      <c r="M54" s="87"/>
      <c r="N54" s="87"/>
      <c r="O54" s="88"/>
      <c r="P54" s="87"/>
      <c r="Q54" s="87"/>
      <c r="R54" s="106"/>
      <c r="S54" s="111"/>
      <c r="T54" s="134"/>
      <c r="U54" s="113"/>
      <c r="V54" s="113"/>
      <c r="W54" s="113"/>
      <c r="X54" s="164">
        <v>2</v>
      </c>
      <c r="Y54" s="113">
        <v>2</v>
      </c>
      <c r="Z54" s="113">
        <v>6</v>
      </c>
      <c r="AA54" s="113"/>
      <c r="AB54" s="113">
        <v>2</v>
      </c>
      <c r="AC54" s="113">
        <v>2</v>
      </c>
      <c r="AD54" s="113">
        <v>2</v>
      </c>
      <c r="AE54" s="113">
        <v>2</v>
      </c>
      <c r="AF54" s="153">
        <v>2</v>
      </c>
      <c r="AG54" s="113"/>
      <c r="AH54" s="113">
        <v>2</v>
      </c>
      <c r="AI54" s="113">
        <v>2</v>
      </c>
      <c r="AJ54" s="113">
        <v>2</v>
      </c>
      <c r="AK54" s="157"/>
      <c r="AL54" s="113">
        <v>2</v>
      </c>
      <c r="AM54" s="113">
        <v>2</v>
      </c>
      <c r="AN54" s="113">
        <v>2</v>
      </c>
      <c r="AO54" s="113">
        <v>6</v>
      </c>
      <c r="AP54" s="113">
        <v>2</v>
      </c>
      <c r="AQ54" s="113"/>
      <c r="AR54" s="158"/>
      <c r="AS54" s="113"/>
      <c r="AT54" s="154"/>
      <c r="AU54" s="154"/>
      <c r="AV54" s="154"/>
      <c r="AW54" s="113"/>
      <c r="AX54" s="155"/>
      <c r="AY54" s="155"/>
      <c r="AZ54" s="113"/>
      <c r="BA54" s="154"/>
      <c r="BB54" s="150"/>
      <c r="BC54" s="113"/>
      <c r="BD54" s="113"/>
      <c r="BE54" s="113"/>
      <c r="BF54" s="125"/>
      <c r="BG54" s="125"/>
      <c r="BH54" s="126"/>
      <c r="BI54" s="125"/>
      <c r="BJ54" s="125"/>
      <c r="BK54" s="125"/>
      <c r="BL54" s="125"/>
      <c r="BM54" s="125"/>
      <c r="BN54" s="125"/>
      <c r="BO54" s="126"/>
      <c r="BP54" s="125"/>
      <c r="BQ54" s="127"/>
      <c r="BR54" s="121">
        <f t="shared" si="2"/>
        <v>40</v>
      </c>
      <c r="BS54" s="122">
        <f t="shared" si="3"/>
        <v>0</v>
      </c>
      <c r="BT54" s="116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  <c r="DO54" s="61"/>
      <c r="DP54" s="61"/>
      <c r="DQ54" s="61"/>
      <c r="DR54" s="61"/>
      <c r="DS54" s="61"/>
      <c r="DT54" s="61"/>
      <c r="DU54" s="61"/>
      <c r="DV54" s="61"/>
      <c r="DW54" s="61"/>
      <c r="DX54" s="61"/>
      <c r="DY54" s="61"/>
      <c r="DZ54" s="61"/>
      <c r="EA54" s="61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61"/>
      <c r="EO54" s="61"/>
      <c r="EP54" s="61"/>
      <c r="EQ54" s="61"/>
      <c r="ER54" s="61"/>
      <c r="ES54" s="61"/>
      <c r="ET54" s="61"/>
      <c r="EU54" s="61"/>
      <c r="EV54" s="61"/>
      <c r="EW54" s="61"/>
      <c r="EX54" s="61"/>
      <c r="EY54" s="61"/>
      <c r="EZ54" s="61"/>
      <c r="FA54" s="61"/>
      <c r="FB54" s="61"/>
      <c r="FC54" s="61"/>
      <c r="FD54" s="61"/>
      <c r="FE54" s="61"/>
      <c r="FF54" s="61"/>
      <c r="FG54" s="61"/>
      <c r="FH54" s="61"/>
      <c r="FI54" s="61"/>
      <c r="FJ54" s="61"/>
      <c r="FK54" s="61"/>
      <c r="FL54" s="61"/>
      <c r="FM54" s="61"/>
      <c r="FN54" s="61"/>
      <c r="FO54" s="61"/>
      <c r="FP54" s="61"/>
      <c r="FQ54" s="61"/>
      <c r="FR54" s="61"/>
      <c r="FS54" s="61"/>
      <c r="FT54" s="61"/>
      <c r="FU54" s="61"/>
      <c r="FV54" s="61"/>
      <c r="FW54" s="61"/>
      <c r="FX54" s="61"/>
      <c r="FY54" s="61"/>
      <c r="FZ54" s="61"/>
      <c r="GA54" s="61"/>
      <c r="GB54" s="61"/>
      <c r="GC54" s="61"/>
      <c r="GD54" s="61"/>
      <c r="GE54" s="61"/>
      <c r="GF54" s="61"/>
      <c r="GG54" s="61"/>
      <c r="GH54" s="61"/>
      <c r="GI54" s="61"/>
      <c r="GJ54" s="61"/>
      <c r="GK54" s="61"/>
      <c r="GL54" s="61"/>
      <c r="GM54" s="61"/>
      <c r="GN54" s="61"/>
      <c r="GO54" s="61"/>
      <c r="GP54" s="61"/>
      <c r="GQ54" s="61"/>
      <c r="GR54" s="61"/>
      <c r="GS54" s="61"/>
      <c r="GT54" s="61"/>
      <c r="GU54" s="61"/>
      <c r="GV54" s="61"/>
      <c r="GW54" s="61"/>
      <c r="GX54" s="61"/>
      <c r="GY54" s="61"/>
      <c r="GZ54" s="61"/>
      <c r="HA54" s="61"/>
      <c r="HB54" s="61"/>
      <c r="HC54" s="61"/>
      <c r="HD54" s="61"/>
      <c r="HE54" s="61"/>
      <c r="HF54" s="61"/>
      <c r="HG54" s="61"/>
      <c r="HH54" s="61"/>
      <c r="HI54" s="61"/>
      <c r="HJ54" s="61"/>
      <c r="HK54" s="61"/>
      <c r="HL54" s="61"/>
      <c r="HM54" s="61"/>
      <c r="HN54" s="61"/>
    </row>
    <row r="55" spans="1:222" ht="15.75" customHeight="1">
      <c r="B55" s="65"/>
      <c r="C55" s="66"/>
      <c r="D55" s="65"/>
      <c r="E55" s="65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R55" s="69"/>
      <c r="BS55" s="70"/>
      <c r="BT55" s="77"/>
    </row>
    <row r="56" spans="1:222" ht="15.75" customHeight="1">
      <c r="B56" s="65"/>
      <c r="C56" s="66"/>
      <c r="D56" s="65"/>
      <c r="E56" s="65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R56" s="69"/>
      <c r="BS56" s="70"/>
      <c r="BT56" s="77"/>
    </row>
    <row r="57" spans="1:222" ht="15.75" customHeight="1">
      <c r="B57" s="65"/>
      <c r="C57" s="66"/>
      <c r="D57" s="65"/>
      <c r="E57" s="65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R57" s="69"/>
      <c r="BS57" s="70"/>
      <c r="BT57" s="77"/>
    </row>
    <row r="58" spans="1:222" ht="15.75" customHeight="1">
      <c r="B58" s="65"/>
      <c r="C58" s="66"/>
      <c r="D58" s="65"/>
      <c r="E58" s="65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R58" s="69"/>
      <c r="BS58" s="70"/>
      <c r="BT58" s="77"/>
    </row>
    <row r="59" spans="1:222" ht="15.75" customHeight="1">
      <c r="B59" s="65"/>
      <c r="C59" s="66"/>
      <c r="D59" s="65"/>
      <c r="E59" s="65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R59" s="69"/>
      <c r="BS59" s="70"/>
      <c r="BT59" s="77"/>
    </row>
    <row r="60" spans="1:222" ht="15.75" customHeight="1">
      <c r="B60" s="65"/>
      <c r="C60" s="66"/>
      <c r="D60" s="65"/>
      <c r="E60" s="65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R60" s="69"/>
      <c r="BS60" s="70"/>
      <c r="BT60" s="77"/>
    </row>
    <row r="61" spans="1:222" ht="15.75" customHeight="1">
      <c r="B61" s="65"/>
      <c r="C61" s="66"/>
      <c r="D61" s="65"/>
      <c r="E61" s="65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R61" s="69"/>
      <c r="BS61" s="70"/>
      <c r="BT61" s="77"/>
    </row>
    <row r="62" spans="1:222" ht="15.75" customHeight="1">
      <c r="B62" s="65"/>
      <c r="C62" s="66"/>
      <c r="D62" s="65"/>
      <c r="E62" s="65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R62" s="69"/>
      <c r="BS62" s="70"/>
      <c r="BT62" s="77"/>
    </row>
    <row r="63" spans="1:222" ht="15.75" customHeight="1">
      <c r="B63" s="65"/>
      <c r="C63" s="66"/>
      <c r="D63" s="65"/>
      <c r="E63" s="65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R63" s="69"/>
      <c r="BS63" s="70"/>
      <c r="BT63" s="77"/>
    </row>
    <row r="64" spans="1:222" ht="15.75" customHeight="1">
      <c r="B64" s="65"/>
      <c r="C64" s="66"/>
      <c r="D64" s="65"/>
      <c r="E64" s="65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R64" s="69"/>
      <c r="BS64" s="70"/>
      <c r="BT64" s="77"/>
    </row>
    <row r="65" spans="2:72" ht="15.75" customHeight="1">
      <c r="B65" s="65"/>
      <c r="C65" s="66"/>
      <c r="D65" s="65"/>
      <c r="E65" s="65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R65" s="69"/>
      <c r="BS65" s="70"/>
      <c r="BT65" s="77"/>
    </row>
    <row r="66" spans="2:72" ht="15.75" customHeight="1">
      <c r="B66" s="65"/>
      <c r="C66" s="66"/>
      <c r="D66" s="65"/>
      <c r="E66" s="65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R66" s="69"/>
      <c r="BS66" s="70"/>
      <c r="BT66" s="77"/>
    </row>
    <row r="67" spans="2:72" ht="15.75" customHeight="1">
      <c r="B67" s="65"/>
      <c r="C67" s="66"/>
      <c r="D67" s="65"/>
      <c r="E67" s="65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R67" s="69"/>
      <c r="BS67" s="70"/>
      <c r="BT67" s="77"/>
    </row>
    <row r="68" spans="2:72" ht="26.25" customHeight="1">
      <c r="B68" s="65"/>
      <c r="C68" s="66"/>
      <c r="D68" s="65"/>
      <c r="E68" s="65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8"/>
      <c r="BK68" s="68"/>
      <c r="BL68" s="68"/>
      <c r="BM68" s="68"/>
      <c r="BN68" s="68"/>
      <c r="BO68" s="68"/>
      <c r="BP68" s="68"/>
      <c r="BR68" s="69"/>
      <c r="BS68" s="70"/>
      <c r="BT68" s="77"/>
    </row>
    <row r="69" spans="2:72" ht="15.75" customHeight="1">
      <c r="B69" s="65"/>
      <c r="C69" s="66"/>
      <c r="D69" s="65"/>
      <c r="E69" s="65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R69" s="69"/>
      <c r="BS69" s="70"/>
      <c r="BT69" s="77"/>
    </row>
    <row r="70" spans="2:72" ht="15.75" customHeight="1">
      <c r="B70" s="65"/>
      <c r="C70" s="66"/>
      <c r="D70" s="65"/>
      <c r="E70" s="65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8"/>
      <c r="BK70" s="68"/>
      <c r="BL70" s="68"/>
      <c r="BM70" s="68"/>
      <c r="BN70" s="68"/>
      <c r="BO70" s="68"/>
      <c r="BP70" s="68"/>
      <c r="BR70" s="69"/>
      <c r="BS70" s="70"/>
      <c r="BT70" s="77"/>
    </row>
    <row r="71" spans="2:72" ht="15.75" customHeight="1">
      <c r="B71" s="65"/>
      <c r="C71" s="66"/>
      <c r="D71" s="65"/>
      <c r="E71" s="65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  <c r="BM71" s="68"/>
      <c r="BN71" s="68"/>
      <c r="BO71" s="68"/>
      <c r="BP71" s="68"/>
      <c r="BR71" s="69"/>
      <c r="BS71" s="70"/>
      <c r="BT71" s="77"/>
    </row>
    <row r="72" spans="2:72" ht="15.75" customHeight="1">
      <c r="B72" s="65"/>
      <c r="C72" s="66"/>
      <c r="D72" s="65"/>
      <c r="E72" s="65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8"/>
      <c r="BK72" s="68"/>
      <c r="BL72" s="68"/>
      <c r="BM72" s="68"/>
      <c r="BN72" s="68"/>
      <c r="BO72" s="68"/>
      <c r="BP72" s="68"/>
      <c r="BR72" s="69"/>
      <c r="BS72" s="70"/>
      <c r="BT72" s="77"/>
    </row>
    <row r="73" spans="2:72" ht="30.75" customHeight="1">
      <c r="B73" s="65"/>
      <c r="C73" s="66"/>
      <c r="D73" s="65"/>
      <c r="E73" s="65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R73" s="69"/>
      <c r="BS73" s="70"/>
      <c r="BT73" s="77"/>
    </row>
    <row r="74" spans="2:72" ht="15.75" customHeight="1">
      <c r="B74" s="65"/>
      <c r="C74" s="66"/>
      <c r="D74" s="65"/>
      <c r="E74" s="65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68"/>
      <c r="BK74" s="68"/>
      <c r="BL74" s="68"/>
      <c r="BM74" s="68"/>
      <c r="BN74" s="68"/>
      <c r="BO74" s="68"/>
      <c r="BP74" s="68"/>
      <c r="BR74" s="69"/>
      <c r="BS74" s="70"/>
      <c r="BT74" s="77"/>
    </row>
    <row r="75" spans="2:72" ht="15.75" customHeight="1">
      <c r="B75" s="65"/>
      <c r="C75" s="66"/>
      <c r="D75" s="65"/>
      <c r="E75" s="65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R75" s="69"/>
      <c r="BS75" s="70"/>
      <c r="BT75" s="77"/>
    </row>
    <row r="76" spans="2:72" ht="15.75" customHeight="1">
      <c r="B76" s="65"/>
      <c r="Z76" s="61"/>
      <c r="BR76" s="69"/>
      <c r="BS76" s="70"/>
      <c r="BT76" s="77"/>
    </row>
    <row r="77" spans="2:72" ht="15.75" customHeight="1">
      <c r="B77" s="65"/>
      <c r="C77" s="66"/>
      <c r="D77" s="65"/>
      <c r="E77" s="65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R77" s="69"/>
      <c r="BS77" s="70"/>
      <c r="BT77" s="77"/>
    </row>
    <row r="78" spans="2:72" ht="15.75" customHeight="1">
      <c r="B78" s="65"/>
      <c r="C78" s="66"/>
      <c r="D78" s="65"/>
      <c r="E78" s="65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R78" s="69"/>
      <c r="BS78" s="70"/>
      <c r="BT78" s="77"/>
    </row>
    <row r="79" spans="2:72" ht="15.75" customHeight="1">
      <c r="B79" s="65"/>
      <c r="C79" s="66"/>
      <c r="D79" s="65"/>
      <c r="E79" s="65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  <c r="BM79" s="68"/>
      <c r="BN79" s="68"/>
      <c r="BO79" s="68"/>
      <c r="BP79" s="68"/>
      <c r="BR79" s="69"/>
      <c r="BS79" s="70"/>
      <c r="BT79" s="77"/>
    </row>
    <row r="80" spans="2:72" ht="15.75" customHeight="1">
      <c r="B80" s="65"/>
      <c r="C80" s="66"/>
      <c r="D80" s="65"/>
      <c r="E80" s="65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R80" s="69"/>
      <c r="BS80" s="70"/>
      <c r="BT80" s="77"/>
    </row>
    <row r="81" spans="2:72" ht="15.75" customHeight="1">
      <c r="B81" s="65"/>
      <c r="C81" s="66"/>
      <c r="D81" s="65"/>
      <c r="E81" s="65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R81" s="69"/>
      <c r="BS81" s="70"/>
      <c r="BT81" s="77"/>
    </row>
    <row r="82" spans="2:72" ht="15.75" customHeight="1">
      <c r="B82" s="65"/>
      <c r="C82" s="66"/>
      <c r="D82" s="65"/>
      <c r="E82" s="65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68"/>
      <c r="BK82" s="68"/>
      <c r="BL82" s="68"/>
      <c r="BM82" s="68"/>
      <c r="BN82" s="68"/>
      <c r="BO82" s="68"/>
      <c r="BP82" s="68"/>
      <c r="BR82" s="69"/>
      <c r="BS82" s="70"/>
      <c r="BT82" s="77"/>
    </row>
    <row r="83" spans="2:72" ht="15.75" customHeight="1">
      <c r="B83" s="65"/>
      <c r="C83" s="66"/>
      <c r="D83" s="65"/>
      <c r="E83" s="65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R83" s="69"/>
      <c r="BS83" s="70"/>
      <c r="BT83" s="77"/>
    </row>
    <row r="84" spans="2:72" ht="15.75" customHeight="1">
      <c r="B84" s="65"/>
      <c r="C84" s="66"/>
      <c r="D84" s="65"/>
      <c r="E84" s="65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68"/>
      <c r="BK84" s="68"/>
      <c r="BL84" s="68"/>
      <c r="BM84" s="68"/>
      <c r="BN84" s="68"/>
      <c r="BO84" s="68"/>
      <c r="BP84" s="68"/>
      <c r="BR84" s="69"/>
      <c r="BS84" s="70"/>
      <c r="BT84" s="77"/>
    </row>
    <row r="85" spans="2:72" ht="15.75" customHeight="1">
      <c r="B85" s="65"/>
      <c r="C85" s="66"/>
      <c r="D85" s="65"/>
      <c r="E85" s="65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68"/>
      <c r="BK85" s="68"/>
      <c r="BL85" s="68"/>
      <c r="BM85" s="68"/>
      <c r="BN85" s="68"/>
      <c r="BO85" s="68"/>
      <c r="BP85" s="68"/>
      <c r="BR85" s="69"/>
      <c r="BS85" s="70"/>
      <c r="BT85" s="77"/>
    </row>
    <row r="86" spans="2:72" ht="15.75" customHeight="1">
      <c r="B86" s="65"/>
      <c r="C86" s="66"/>
      <c r="D86" s="65"/>
      <c r="E86" s="65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68"/>
      <c r="BK86" s="68"/>
      <c r="BL86" s="68"/>
      <c r="BM86" s="68"/>
      <c r="BN86" s="68"/>
      <c r="BO86" s="68"/>
      <c r="BP86" s="68"/>
      <c r="BR86" s="69"/>
      <c r="BS86" s="70"/>
      <c r="BT86" s="77"/>
    </row>
    <row r="87" spans="2:72" ht="15.75" customHeight="1">
      <c r="B87" s="65"/>
      <c r="C87" s="66"/>
      <c r="D87" s="65"/>
      <c r="E87" s="65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68"/>
      <c r="BO87" s="68"/>
      <c r="BP87" s="68"/>
      <c r="BR87" s="69"/>
      <c r="BS87" s="70"/>
      <c r="BT87" s="77"/>
    </row>
    <row r="88" spans="2:72" ht="15.75" customHeight="1">
      <c r="B88" s="65"/>
      <c r="C88" s="66"/>
      <c r="D88" s="65"/>
      <c r="E88" s="65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R88" s="69"/>
      <c r="BS88" s="70"/>
      <c r="BT88" s="77"/>
    </row>
    <row r="89" spans="2:72" ht="15.75" customHeight="1">
      <c r="B89" s="65"/>
      <c r="C89" s="66"/>
      <c r="D89" s="65"/>
      <c r="E89" s="65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R89" s="69"/>
      <c r="BS89" s="70"/>
      <c r="BT89" s="77"/>
    </row>
    <row r="90" spans="2:72" ht="15.75" customHeight="1">
      <c r="B90" s="65"/>
      <c r="C90" s="66"/>
      <c r="D90" s="65"/>
      <c r="E90" s="65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8"/>
      <c r="BK90" s="68"/>
      <c r="BL90" s="68"/>
      <c r="BM90" s="68"/>
      <c r="BN90" s="68"/>
      <c r="BO90" s="68"/>
      <c r="BP90" s="68"/>
      <c r="BR90" s="69"/>
      <c r="BS90" s="70"/>
      <c r="BT90" s="77"/>
    </row>
    <row r="91" spans="2:72" ht="15.75" customHeight="1">
      <c r="B91" s="65"/>
      <c r="C91" s="66"/>
      <c r="D91" s="65"/>
      <c r="E91" s="65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R91" s="69"/>
      <c r="BS91" s="70"/>
      <c r="BT91" s="77"/>
    </row>
    <row r="92" spans="2:72" ht="15.75" customHeight="1">
      <c r="B92" s="65"/>
      <c r="C92" s="66"/>
      <c r="D92" s="65"/>
      <c r="E92" s="65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R92" s="69"/>
      <c r="BS92" s="70"/>
      <c r="BT92" s="77"/>
    </row>
    <row r="93" spans="2:72" ht="15.75" customHeight="1">
      <c r="B93" s="65"/>
      <c r="C93" s="66"/>
      <c r="D93" s="65"/>
      <c r="E93" s="65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R93" s="69"/>
      <c r="BS93" s="70"/>
      <c r="BT93" s="77"/>
    </row>
    <row r="94" spans="2:72" ht="15.75" customHeight="1">
      <c r="B94" s="65"/>
      <c r="C94" s="66"/>
      <c r="D94" s="65"/>
      <c r="E94" s="65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70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68"/>
      <c r="BK94" s="68"/>
      <c r="BL94" s="68"/>
      <c r="BM94" s="68"/>
      <c r="BN94" s="68"/>
      <c r="BO94" s="68"/>
      <c r="BP94" s="68"/>
      <c r="BR94" s="69"/>
      <c r="BS94" s="70"/>
      <c r="BT94" s="77"/>
    </row>
    <row r="95" spans="2:72" ht="15.75" customHeight="1">
      <c r="B95" s="65"/>
      <c r="C95" s="66"/>
      <c r="D95" s="65"/>
      <c r="E95" s="65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70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  <c r="BM95" s="68"/>
      <c r="BN95" s="68"/>
      <c r="BO95" s="68"/>
      <c r="BP95" s="68"/>
      <c r="BR95" s="69"/>
      <c r="BS95" s="70"/>
      <c r="BT95" s="77"/>
    </row>
    <row r="96" spans="2:72" ht="15.75" customHeight="1">
      <c r="B96" s="65"/>
      <c r="C96" s="66"/>
      <c r="D96" s="65"/>
      <c r="E96" s="65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70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68"/>
      <c r="BK96" s="68"/>
      <c r="BL96" s="68"/>
      <c r="BM96" s="68"/>
      <c r="BN96" s="68"/>
      <c r="BO96" s="68"/>
      <c r="BP96" s="68"/>
      <c r="BR96" s="69"/>
      <c r="BS96" s="70"/>
      <c r="BT96" s="77"/>
    </row>
    <row r="97" spans="2:72" ht="15.75" customHeight="1">
      <c r="B97" s="65"/>
      <c r="C97" s="66"/>
      <c r="D97" s="65"/>
      <c r="E97" s="65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70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  <c r="BM97" s="68"/>
      <c r="BN97" s="68"/>
      <c r="BO97" s="68"/>
      <c r="BP97" s="68"/>
      <c r="BR97" s="69"/>
      <c r="BS97" s="70"/>
      <c r="BT97" s="77"/>
    </row>
    <row r="98" spans="2:72" ht="15.75" customHeight="1">
      <c r="B98" s="65"/>
      <c r="C98" s="66"/>
      <c r="D98" s="65"/>
      <c r="E98" s="65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70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R98" s="69"/>
      <c r="BS98" s="70"/>
      <c r="BT98" s="77"/>
    </row>
    <row r="99" spans="2:72" ht="15.75" customHeight="1">
      <c r="B99" s="65"/>
      <c r="C99" s="66"/>
      <c r="D99" s="65"/>
      <c r="E99" s="65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70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68"/>
      <c r="BM99" s="68"/>
      <c r="BN99" s="68"/>
      <c r="BO99" s="68"/>
      <c r="BP99" s="68"/>
      <c r="BR99" s="69"/>
      <c r="BS99" s="70"/>
      <c r="BT99" s="77"/>
    </row>
    <row r="100" spans="2:72" ht="15.75" customHeight="1">
      <c r="B100" s="65"/>
      <c r="C100" s="66"/>
      <c r="D100" s="65"/>
      <c r="E100" s="65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70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68"/>
      <c r="BL100" s="68"/>
      <c r="BM100" s="68"/>
      <c r="BN100" s="68"/>
      <c r="BO100" s="68"/>
      <c r="BP100" s="68"/>
      <c r="BR100" s="69"/>
      <c r="BS100" s="70"/>
      <c r="BT100" s="77"/>
    </row>
    <row r="101" spans="2:72" ht="15.75" customHeight="1">
      <c r="B101" s="65"/>
      <c r="C101" s="66"/>
      <c r="D101" s="65"/>
      <c r="E101" s="65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70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  <c r="BB101" s="68"/>
      <c r="BC101" s="68"/>
      <c r="BD101" s="68"/>
      <c r="BE101" s="68"/>
      <c r="BF101" s="68"/>
      <c r="BG101" s="68"/>
      <c r="BH101" s="68"/>
      <c r="BI101" s="68"/>
      <c r="BJ101" s="68"/>
      <c r="BK101" s="68"/>
      <c r="BL101" s="68"/>
      <c r="BM101" s="68"/>
      <c r="BN101" s="68"/>
      <c r="BO101" s="68"/>
      <c r="BP101" s="68"/>
      <c r="BR101" s="69"/>
      <c r="BS101" s="70"/>
      <c r="BT101" s="77"/>
    </row>
    <row r="102" spans="2:72" ht="15.75" customHeight="1">
      <c r="B102" s="65"/>
      <c r="C102" s="66"/>
      <c r="D102" s="65"/>
      <c r="E102" s="65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70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8"/>
      <c r="BM102" s="68"/>
      <c r="BN102" s="68"/>
      <c r="BO102" s="68"/>
      <c r="BP102" s="68"/>
      <c r="BR102" s="69"/>
      <c r="BS102" s="70"/>
      <c r="BT102" s="77"/>
    </row>
    <row r="103" spans="2:72" ht="15.75" customHeight="1">
      <c r="B103" s="65"/>
      <c r="C103" s="66"/>
      <c r="D103" s="65"/>
      <c r="E103" s="65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70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68"/>
      <c r="BH103" s="68"/>
      <c r="BI103" s="68"/>
      <c r="BJ103" s="68"/>
      <c r="BK103" s="68"/>
      <c r="BL103" s="68"/>
      <c r="BM103" s="68"/>
      <c r="BN103" s="68"/>
      <c r="BO103" s="68"/>
      <c r="BP103" s="68"/>
      <c r="BR103" s="69"/>
      <c r="BS103" s="70"/>
      <c r="BT103" s="77"/>
    </row>
    <row r="104" spans="2:72" ht="15.75" customHeight="1">
      <c r="B104" s="65"/>
      <c r="C104" s="66"/>
      <c r="D104" s="65"/>
      <c r="E104" s="65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70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68"/>
      <c r="BM104" s="68"/>
      <c r="BN104" s="68"/>
      <c r="BO104" s="68"/>
      <c r="BP104" s="68"/>
      <c r="BR104" s="69"/>
      <c r="BS104" s="70"/>
      <c r="BT104" s="77"/>
    </row>
    <row r="105" spans="2:72" ht="15.75" customHeight="1">
      <c r="B105" s="65"/>
      <c r="C105" s="66"/>
      <c r="D105" s="65"/>
      <c r="E105" s="65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70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68"/>
      <c r="BM105" s="68"/>
      <c r="BN105" s="68"/>
      <c r="BO105" s="68"/>
      <c r="BP105" s="68"/>
      <c r="BR105" s="69"/>
      <c r="BS105" s="70"/>
      <c r="BT105" s="77"/>
    </row>
    <row r="106" spans="2:72" ht="15.75" customHeight="1">
      <c r="B106" s="65"/>
      <c r="C106" s="66"/>
      <c r="D106" s="65"/>
      <c r="E106" s="65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70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  <c r="BM106" s="68"/>
      <c r="BN106" s="68"/>
      <c r="BO106" s="68"/>
      <c r="BP106" s="68"/>
      <c r="BR106" s="69"/>
      <c r="BS106" s="70"/>
      <c r="BT106" s="77"/>
    </row>
    <row r="107" spans="2:72" ht="15.75" customHeight="1">
      <c r="B107" s="65"/>
      <c r="C107" s="66"/>
      <c r="D107" s="65"/>
      <c r="E107" s="65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70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68"/>
      <c r="BK107" s="68"/>
      <c r="BL107" s="68"/>
      <c r="BM107" s="68"/>
      <c r="BN107" s="68"/>
      <c r="BO107" s="68"/>
      <c r="BP107" s="68"/>
      <c r="BR107" s="69"/>
      <c r="BS107" s="70"/>
      <c r="BT107" s="77"/>
    </row>
    <row r="108" spans="2:72" ht="15.75" customHeight="1">
      <c r="B108" s="65"/>
      <c r="C108" s="66"/>
      <c r="D108" s="65"/>
      <c r="E108" s="65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70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  <c r="BO108" s="68"/>
      <c r="BP108" s="68"/>
      <c r="BR108" s="69"/>
      <c r="BS108" s="70"/>
      <c r="BT108" s="77"/>
    </row>
    <row r="109" spans="2:72" ht="15.75" customHeight="1">
      <c r="B109" s="65"/>
      <c r="C109" s="66"/>
      <c r="D109" s="65"/>
      <c r="E109" s="65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70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  <c r="BO109" s="68"/>
      <c r="BP109" s="68"/>
      <c r="BR109" s="69"/>
      <c r="BS109" s="70"/>
      <c r="BT109" s="77"/>
    </row>
    <row r="110" spans="2:72" ht="15.75" customHeight="1">
      <c r="B110" s="65"/>
      <c r="C110" s="66"/>
      <c r="D110" s="65"/>
      <c r="E110" s="65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70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68"/>
      <c r="BM110" s="68"/>
      <c r="BN110" s="68"/>
      <c r="BO110" s="68"/>
      <c r="BP110" s="68"/>
      <c r="BR110" s="69"/>
      <c r="BS110" s="70"/>
      <c r="BT110" s="77"/>
    </row>
    <row r="111" spans="2:72" ht="15.75" customHeight="1">
      <c r="B111" s="65"/>
      <c r="C111" s="66"/>
      <c r="D111" s="65"/>
      <c r="E111" s="65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70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68"/>
      <c r="BM111" s="68"/>
      <c r="BN111" s="68"/>
      <c r="BO111" s="68"/>
      <c r="BP111" s="68"/>
      <c r="BR111" s="69"/>
      <c r="BS111" s="70"/>
      <c r="BT111" s="77"/>
    </row>
    <row r="112" spans="2:72" ht="15.75" customHeight="1">
      <c r="B112" s="65"/>
      <c r="C112" s="66"/>
      <c r="D112" s="65"/>
      <c r="E112" s="65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70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  <c r="BM112" s="68"/>
      <c r="BN112" s="68"/>
      <c r="BO112" s="68"/>
      <c r="BP112" s="68"/>
      <c r="BR112" s="69"/>
      <c r="BS112" s="70"/>
      <c r="BT112" s="77"/>
    </row>
    <row r="113" spans="2:72" ht="15.75" customHeight="1">
      <c r="B113" s="65"/>
      <c r="C113" s="66"/>
      <c r="D113" s="65"/>
      <c r="E113" s="65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70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8"/>
      <c r="BC113" s="68"/>
      <c r="BD113" s="68"/>
      <c r="BE113" s="68"/>
      <c r="BF113" s="68"/>
      <c r="BG113" s="68"/>
      <c r="BH113" s="68"/>
      <c r="BI113" s="68"/>
      <c r="BJ113" s="68"/>
      <c r="BK113" s="68"/>
      <c r="BL113" s="68"/>
      <c r="BM113" s="68"/>
      <c r="BN113" s="68"/>
      <c r="BO113" s="68"/>
      <c r="BP113" s="68"/>
      <c r="BR113" s="69"/>
      <c r="BS113" s="70"/>
      <c r="BT113" s="77"/>
    </row>
    <row r="114" spans="2:72" ht="15.75" customHeight="1">
      <c r="B114" s="65"/>
      <c r="C114" s="66"/>
      <c r="D114" s="65"/>
      <c r="E114" s="65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70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8"/>
      <c r="BC114" s="68"/>
      <c r="BD114" s="68"/>
      <c r="BE114" s="68"/>
      <c r="BF114" s="68"/>
      <c r="BG114" s="68"/>
      <c r="BH114" s="68"/>
      <c r="BI114" s="68"/>
      <c r="BJ114" s="68"/>
      <c r="BK114" s="68"/>
      <c r="BL114" s="68"/>
      <c r="BM114" s="68"/>
      <c r="BN114" s="68"/>
      <c r="BO114" s="68"/>
      <c r="BP114" s="68"/>
      <c r="BR114" s="69"/>
      <c r="BS114" s="70"/>
      <c r="BT114" s="77"/>
    </row>
    <row r="115" spans="2:72" ht="15.75" customHeight="1">
      <c r="B115" s="65"/>
      <c r="C115" s="66"/>
      <c r="D115" s="65"/>
      <c r="E115" s="65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70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68"/>
      <c r="BG115" s="68"/>
      <c r="BH115" s="68"/>
      <c r="BI115" s="68"/>
      <c r="BJ115" s="68"/>
      <c r="BK115" s="68"/>
      <c r="BL115" s="68"/>
      <c r="BM115" s="68"/>
      <c r="BN115" s="68"/>
      <c r="BO115" s="68"/>
      <c r="BP115" s="68"/>
      <c r="BR115" s="69"/>
      <c r="BS115" s="70"/>
      <c r="BT115" s="77"/>
    </row>
    <row r="116" spans="2:72" ht="15.75" customHeight="1">
      <c r="B116" s="65"/>
      <c r="C116" s="66"/>
      <c r="D116" s="65"/>
      <c r="E116" s="65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70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  <c r="BB116" s="68"/>
      <c r="BC116" s="68"/>
      <c r="BD116" s="68"/>
      <c r="BE116" s="68"/>
      <c r="BF116" s="68"/>
      <c r="BG116" s="68"/>
      <c r="BH116" s="68"/>
      <c r="BI116" s="68"/>
      <c r="BJ116" s="68"/>
      <c r="BK116" s="68"/>
      <c r="BL116" s="68"/>
      <c r="BM116" s="68"/>
      <c r="BN116" s="68"/>
      <c r="BO116" s="68"/>
      <c r="BP116" s="68"/>
      <c r="BR116" s="69"/>
      <c r="BS116" s="70"/>
      <c r="BT116" s="77"/>
    </row>
    <row r="117" spans="2:72" ht="15.75" customHeight="1">
      <c r="B117" s="65"/>
      <c r="C117" s="66"/>
      <c r="D117" s="65"/>
      <c r="E117" s="65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70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  <c r="BM117" s="68"/>
      <c r="BN117" s="68"/>
      <c r="BO117" s="68"/>
      <c r="BP117" s="68"/>
      <c r="BR117" s="69"/>
      <c r="BS117" s="70"/>
      <c r="BT117" s="77"/>
    </row>
    <row r="118" spans="2:72" ht="15.75" customHeight="1">
      <c r="B118" s="65"/>
      <c r="C118" s="66"/>
      <c r="D118" s="65"/>
      <c r="E118" s="65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70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  <c r="BB118" s="68"/>
      <c r="BC118" s="68"/>
      <c r="BD118" s="68"/>
      <c r="BE118" s="68"/>
      <c r="BF118" s="68"/>
      <c r="BG118" s="68"/>
      <c r="BH118" s="68"/>
      <c r="BI118" s="68"/>
      <c r="BJ118" s="68"/>
      <c r="BK118" s="68"/>
      <c r="BL118" s="68"/>
      <c r="BM118" s="68"/>
      <c r="BN118" s="68"/>
      <c r="BO118" s="68"/>
      <c r="BP118" s="68"/>
      <c r="BR118" s="69"/>
      <c r="BS118" s="70"/>
      <c r="BT118" s="77"/>
    </row>
    <row r="119" spans="2:72" ht="15.75" customHeight="1">
      <c r="B119" s="65"/>
      <c r="C119" s="66"/>
      <c r="D119" s="65"/>
      <c r="E119" s="65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70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  <c r="BB119" s="68"/>
      <c r="BC119" s="68"/>
      <c r="BD119" s="68"/>
      <c r="BE119" s="68"/>
      <c r="BF119" s="68"/>
      <c r="BG119" s="68"/>
      <c r="BH119" s="68"/>
      <c r="BI119" s="68"/>
      <c r="BJ119" s="68"/>
      <c r="BK119" s="68"/>
      <c r="BL119" s="68"/>
      <c r="BM119" s="68"/>
      <c r="BN119" s="68"/>
      <c r="BO119" s="68"/>
      <c r="BP119" s="68"/>
      <c r="BR119" s="69"/>
      <c r="BS119" s="70"/>
      <c r="BT119" s="77"/>
    </row>
    <row r="120" spans="2:72" ht="15.75" customHeight="1">
      <c r="B120" s="65"/>
      <c r="C120" s="66"/>
      <c r="D120" s="65"/>
      <c r="E120" s="65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70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  <c r="BB120" s="68"/>
      <c r="BC120" s="68"/>
      <c r="BD120" s="68"/>
      <c r="BE120" s="68"/>
      <c r="BF120" s="68"/>
      <c r="BG120" s="68"/>
      <c r="BH120" s="68"/>
      <c r="BI120" s="68"/>
      <c r="BJ120" s="68"/>
      <c r="BK120" s="68"/>
      <c r="BL120" s="68"/>
      <c r="BM120" s="68"/>
      <c r="BN120" s="68"/>
      <c r="BO120" s="68"/>
      <c r="BP120" s="68"/>
      <c r="BR120" s="69"/>
      <c r="BS120" s="70"/>
      <c r="BT120" s="77"/>
    </row>
    <row r="121" spans="2:72" ht="15.75" customHeight="1">
      <c r="B121" s="65"/>
      <c r="C121" s="66"/>
      <c r="D121" s="65"/>
      <c r="E121" s="65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70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  <c r="BM121" s="68"/>
      <c r="BN121" s="68"/>
      <c r="BO121" s="68"/>
      <c r="BP121" s="68"/>
      <c r="BR121" s="69"/>
      <c r="BS121" s="70"/>
      <c r="BT121" s="77"/>
    </row>
    <row r="122" spans="2:72" ht="15.75" customHeight="1">
      <c r="B122" s="65"/>
      <c r="C122" s="66"/>
      <c r="D122" s="65"/>
      <c r="E122" s="65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70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8"/>
      <c r="BC122" s="68"/>
      <c r="BD122" s="68"/>
      <c r="BE122" s="68"/>
      <c r="BF122" s="68"/>
      <c r="BG122" s="68"/>
      <c r="BH122" s="68"/>
      <c r="BI122" s="68"/>
      <c r="BJ122" s="68"/>
      <c r="BK122" s="68"/>
      <c r="BL122" s="68"/>
      <c r="BM122" s="68"/>
      <c r="BN122" s="68"/>
      <c r="BO122" s="68"/>
      <c r="BP122" s="68"/>
      <c r="BR122" s="69"/>
      <c r="BS122" s="70"/>
      <c r="BT122" s="77"/>
    </row>
    <row r="123" spans="2:72" ht="15.75" customHeight="1">
      <c r="B123" s="65"/>
      <c r="C123" s="66"/>
      <c r="D123" s="65"/>
      <c r="E123" s="65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70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8"/>
      <c r="BC123" s="68"/>
      <c r="BD123" s="68"/>
      <c r="BE123" s="68"/>
      <c r="BF123" s="68"/>
      <c r="BG123" s="68"/>
      <c r="BH123" s="68"/>
      <c r="BI123" s="68"/>
      <c r="BJ123" s="68"/>
      <c r="BK123" s="68"/>
      <c r="BL123" s="68"/>
      <c r="BM123" s="68"/>
      <c r="BN123" s="68"/>
      <c r="BO123" s="68"/>
      <c r="BP123" s="68"/>
      <c r="BR123" s="69"/>
      <c r="BS123" s="70"/>
      <c r="BT123" s="77"/>
    </row>
    <row r="124" spans="2:72" ht="15.75" customHeight="1">
      <c r="B124" s="65"/>
      <c r="C124" s="66"/>
      <c r="D124" s="65"/>
      <c r="E124" s="65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70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8"/>
      <c r="BA124" s="68"/>
      <c r="BB124" s="68"/>
      <c r="BC124" s="68"/>
      <c r="BD124" s="68"/>
      <c r="BE124" s="68"/>
      <c r="BF124" s="68"/>
      <c r="BG124" s="68"/>
      <c r="BH124" s="68"/>
      <c r="BI124" s="68"/>
      <c r="BJ124" s="68"/>
      <c r="BK124" s="68"/>
      <c r="BL124" s="68"/>
      <c r="BM124" s="68"/>
      <c r="BN124" s="68"/>
      <c r="BO124" s="68"/>
      <c r="BP124" s="68"/>
      <c r="BR124" s="69"/>
      <c r="BS124" s="70"/>
      <c r="BT124" s="77"/>
    </row>
    <row r="125" spans="2:72" ht="15.75" customHeight="1">
      <c r="B125" s="65"/>
      <c r="C125" s="66"/>
      <c r="D125" s="65"/>
      <c r="E125" s="65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70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  <c r="BB125" s="68"/>
      <c r="BC125" s="68"/>
      <c r="BD125" s="68"/>
      <c r="BE125" s="68"/>
      <c r="BF125" s="68"/>
      <c r="BG125" s="68"/>
      <c r="BH125" s="68"/>
      <c r="BI125" s="68"/>
      <c r="BJ125" s="68"/>
      <c r="BK125" s="68"/>
      <c r="BL125" s="68"/>
      <c r="BM125" s="68"/>
      <c r="BN125" s="68"/>
      <c r="BO125" s="68"/>
      <c r="BP125" s="68"/>
      <c r="BR125" s="69"/>
      <c r="BS125" s="70"/>
      <c r="BT125" s="77"/>
    </row>
    <row r="126" spans="2:72" ht="15.75" customHeight="1">
      <c r="B126" s="65"/>
      <c r="C126" s="66"/>
      <c r="D126" s="65"/>
      <c r="E126" s="65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70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8"/>
      <c r="BA126" s="68"/>
      <c r="BB126" s="68"/>
      <c r="BC126" s="68"/>
      <c r="BD126" s="68"/>
      <c r="BE126" s="68"/>
      <c r="BF126" s="68"/>
      <c r="BG126" s="68"/>
      <c r="BH126" s="68"/>
      <c r="BI126" s="68"/>
      <c r="BJ126" s="68"/>
      <c r="BK126" s="68"/>
      <c r="BL126" s="68"/>
      <c r="BM126" s="68"/>
      <c r="BN126" s="68"/>
      <c r="BO126" s="68"/>
      <c r="BP126" s="68"/>
      <c r="BR126" s="69"/>
      <c r="BS126" s="70"/>
      <c r="BT126" s="77"/>
    </row>
    <row r="127" spans="2:72" ht="15.75" customHeight="1">
      <c r="B127" s="65"/>
      <c r="C127" s="66"/>
      <c r="D127" s="65"/>
      <c r="E127" s="65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70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  <c r="AX127" s="68"/>
      <c r="AY127" s="68"/>
      <c r="AZ127" s="68"/>
      <c r="BA127" s="68"/>
      <c r="BB127" s="68"/>
      <c r="BC127" s="68"/>
      <c r="BD127" s="68"/>
      <c r="BE127" s="68"/>
      <c r="BF127" s="68"/>
      <c r="BG127" s="68"/>
      <c r="BH127" s="68"/>
      <c r="BI127" s="68"/>
      <c r="BJ127" s="68"/>
      <c r="BK127" s="68"/>
      <c r="BL127" s="68"/>
      <c r="BM127" s="68"/>
      <c r="BN127" s="68"/>
      <c r="BO127" s="68"/>
      <c r="BP127" s="68"/>
      <c r="BR127" s="69"/>
      <c r="BS127" s="70"/>
      <c r="BT127" s="77"/>
    </row>
    <row r="128" spans="2:72" ht="15.75" customHeight="1">
      <c r="B128" s="65"/>
      <c r="C128" s="66"/>
      <c r="D128" s="65"/>
      <c r="E128" s="65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70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8"/>
      <c r="BA128" s="68"/>
      <c r="BB128" s="68"/>
      <c r="BC128" s="68"/>
      <c r="BD128" s="68"/>
      <c r="BE128" s="68"/>
      <c r="BF128" s="68"/>
      <c r="BG128" s="68"/>
      <c r="BH128" s="68"/>
      <c r="BI128" s="68"/>
      <c r="BJ128" s="68"/>
      <c r="BK128" s="68"/>
      <c r="BL128" s="68"/>
      <c r="BM128" s="68"/>
      <c r="BN128" s="68"/>
      <c r="BO128" s="68"/>
      <c r="BP128" s="68"/>
      <c r="BR128" s="69"/>
      <c r="BS128" s="70"/>
      <c r="BT128" s="77"/>
    </row>
    <row r="129" spans="2:72" ht="15.75" customHeight="1">
      <c r="B129" s="65"/>
      <c r="C129" s="66"/>
      <c r="D129" s="65"/>
      <c r="E129" s="65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70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/>
      <c r="AX129" s="68"/>
      <c r="AY129" s="68"/>
      <c r="AZ129" s="68"/>
      <c r="BA129" s="68"/>
      <c r="BB129" s="68"/>
      <c r="BC129" s="68"/>
      <c r="BD129" s="68"/>
      <c r="BE129" s="68"/>
      <c r="BF129" s="68"/>
      <c r="BG129" s="68"/>
      <c r="BH129" s="68"/>
      <c r="BI129" s="68"/>
      <c r="BJ129" s="68"/>
      <c r="BK129" s="68"/>
      <c r="BL129" s="68"/>
      <c r="BM129" s="68"/>
      <c r="BN129" s="68"/>
      <c r="BO129" s="68"/>
      <c r="BP129" s="68"/>
      <c r="BR129" s="69"/>
      <c r="BS129" s="70"/>
      <c r="BT129" s="77"/>
    </row>
    <row r="130" spans="2:72" ht="15.75" customHeight="1">
      <c r="B130" s="65"/>
      <c r="C130" s="66"/>
      <c r="D130" s="65"/>
      <c r="E130" s="65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70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8"/>
      <c r="BA130" s="68"/>
      <c r="BB130" s="68"/>
      <c r="BC130" s="68"/>
      <c r="BD130" s="68"/>
      <c r="BE130" s="68"/>
      <c r="BF130" s="68"/>
      <c r="BG130" s="68"/>
      <c r="BH130" s="68"/>
      <c r="BI130" s="68"/>
      <c r="BJ130" s="68"/>
      <c r="BK130" s="68"/>
      <c r="BL130" s="68"/>
      <c r="BM130" s="68"/>
      <c r="BN130" s="68"/>
      <c r="BO130" s="68"/>
      <c r="BP130" s="68"/>
      <c r="BR130" s="69"/>
      <c r="BS130" s="70"/>
      <c r="BT130" s="77"/>
    </row>
    <row r="131" spans="2:72" ht="15.75" customHeight="1">
      <c r="B131" s="65"/>
      <c r="C131" s="66"/>
      <c r="D131" s="65"/>
      <c r="E131" s="65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70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8"/>
      <c r="BC131" s="68"/>
      <c r="BD131" s="68"/>
      <c r="BE131" s="68"/>
      <c r="BF131" s="68"/>
      <c r="BG131" s="68"/>
      <c r="BH131" s="68"/>
      <c r="BI131" s="68"/>
      <c r="BJ131" s="68"/>
      <c r="BK131" s="68"/>
      <c r="BL131" s="68"/>
      <c r="BM131" s="68"/>
      <c r="BN131" s="68"/>
      <c r="BO131" s="68"/>
      <c r="BP131" s="68"/>
      <c r="BR131" s="69"/>
      <c r="BS131" s="70"/>
      <c r="BT131" s="77"/>
    </row>
    <row r="132" spans="2:72" ht="15.75" customHeight="1">
      <c r="B132" s="65"/>
      <c r="C132" s="66"/>
      <c r="D132" s="65"/>
      <c r="E132" s="65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70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  <c r="BB132" s="68"/>
      <c r="BC132" s="68"/>
      <c r="BD132" s="68"/>
      <c r="BE132" s="68"/>
      <c r="BF132" s="68"/>
      <c r="BG132" s="68"/>
      <c r="BH132" s="68"/>
      <c r="BI132" s="68"/>
      <c r="BJ132" s="68"/>
      <c r="BK132" s="68"/>
      <c r="BL132" s="68"/>
      <c r="BM132" s="68"/>
      <c r="BN132" s="68"/>
      <c r="BO132" s="68"/>
      <c r="BP132" s="68"/>
      <c r="BR132" s="69"/>
      <c r="BS132" s="70"/>
      <c r="BT132" s="77"/>
    </row>
    <row r="133" spans="2:72" ht="15.75" customHeight="1">
      <c r="B133" s="65"/>
      <c r="C133" s="66"/>
      <c r="D133" s="65"/>
      <c r="E133" s="65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70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  <c r="BB133" s="68"/>
      <c r="BC133" s="68"/>
      <c r="BD133" s="68"/>
      <c r="BE133" s="68"/>
      <c r="BF133" s="68"/>
      <c r="BG133" s="68"/>
      <c r="BH133" s="68"/>
      <c r="BI133" s="68"/>
      <c r="BJ133" s="68"/>
      <c r="BK133" s="68"/>
      <c r="BL133" s="68"/>
      <c r="BM133" s="68"/>
      <c r="BN133" s="68"/>
      <c r="BO133" s="68"/>
      <c r="BP133" s="68"/>
      <c r="BR133" s="69"/>
      <c r="BS133" s="70"/>
      <c r="BT133" s="77"/>
    </row>
    <row r="134" spans="2:72" ht="15.75" customHeight="1">
      <c r="B134" s="65"/>
      <c r="C134" s="66"/>
      <c r="D134" s="65"/>
      <c r="E134" s="65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70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/>
      <c r="BO134" s="68"/>
      <c r="BP134" s="68"/>
      <c r="BR134" s="69"/>
      <c r="BS134" s="70"/>
      <c r="BT134" s="77"/>
    </row>
    <row r="135" spans="2:72" ht="15.75" customHeight="1">
      <c r="B135" s="65"/>
      <c r="C135" s="66"/>
      <c r="D135" s="65"/>
      <c r="E135" s="65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70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68"/>
      <c r="BN135" s="68"/>
      <c r="BO135" s="68"/>
      <c r="BP135" s="68"/>
      <c r="BR135" s="69"/>
      <c r="BS135" s="70"/>
      <c r="BT135" s="77"/>
    </row>
    <row r="136" spans="2:72" ht="15.75" customHeight="1">
      <c r="B136" s="65"/>
      <c r="C136" s="66"/>
      <c r="D136" s="65"/>
      <c r="E136" s="65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70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68"/>
      <c r="BN136" s="68"/>
      <c r="BO136" s="68"/>
      <c r="BP136" s="68"/>
      <c r="BR136" s="69"/>
      <c r="BS136" s="70"/>
      <c r="BT136" s="77"/>
    </row>
    <row r="137" spans="2:72" ht="15.75" customHeight="1">
      <c r="B137" s="65"/>
      <c r="C137" s="66"/>
      <c r="D137" s="65"/>
      <c r="E137" s="65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70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68"/>
      <c r="BN137" s="68"/>
      <c r="BO137" s="68"/>
      <c r="BP137" s="68"/>
      <c r="BR137" s="69"/>
      <c r="BS137" s="70"/>
      <c r="BT137" s="77"/>
    </row>
    <row r="138" spans="2:72" ht="15.75" customHeight="1">
      <c r="B138" s="65"/>
      <c r="C138" s="66"/>
      <c r="D138" s="65"/>
      <c r="E138" s="65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70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/>
      <c r="BB138" s="68"/>
      <c r="BC138" s="68"/>
      <c r="BD138" s="68"/>
      <c r="BE138" s="68"/>
      <c r="BF138" s="68"/>
      <c r="BG138" s="68"/>
      <c r="BH138" s="68"/>
      <c r="BI138" s="68"/>
      <c r="BJ138" s="68"/>
      <c r="BK138" s="68"/>
      <c r="BL138" s="68"/>
      <c r="BM138" s="68"/>
      <c r="BN138" s="68"/>
      <c r="BO138" s="68"/>
      <c r="BP138" s="68"/>
      <c r="BR138" s="69"/>
      <c r="BS138" s="70"/>
      <c r="BT138" s="77"/>
    </row>
    <row r="139" spans="2:72" ht="15.75" customHeight="1">
      <c r="B139" s="65"/>
      <c r="C139" s="66"/>
      <c r="D139" s="65"/>
      <c r="E139" s="65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70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8"/>
      <c r="BA139" s="68"/>
      <c r="BB139" s="68"/>
      <c r="BC139" s="68"/>
      <c r="BD139" s="68"/>
      <c r="BE139" s="68"/>
      <c r="BF139" s="68"/>
      <c r="BG139" s="68"/>
      <c r="BH139" s="68"/>
      <c r="BI139" s="68"/>
      <c r="BJ139" s="68"/>
      <c r="BK139" s="68"/>
      <c r="BL139" s="68"/>
      <c r="BM139" s="68"/>
      <c r="BN139" s="68"/>
      <c r="BO139" s="68"/>
      <c r="BP139" s="68"/>
      <c r="BR139" s="69"/>
      <c r="BS139" s="70"/>
      <c r="BT139" s="77"/>
    </row>
    <row r="140" spans="2:72" ht="15.75" customHeight="1">
      <c r="B140" s="65"/>
      <c r="C140" s="66"/>
      <c r="D140" s="65"/>
      <c r="E140" s="65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70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8"/>
      <c r="AZ140" s="68"/>
      <c r="BA140" s="68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68"/>
      <c r="BO140" s="68"/>
      <c r="BP140" s="68"/>
      <c r="BR140" s="69"/>
      <c r="BS140" s="70"/>
      <c r="BT140" s="77"/>
    </row>
    <row r="141" spans="2:72" ht="15.75" customHeight="1">
      <c r="B141" s="65"/>
      <c r="C141" s="66"/>
      <c r="D141" s="65"/>
      <c r="E141" s="65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70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R141" s="69"/>
      <c r="BS141" s="70"/>
      <c r="BT141" s="77"/>
    </row>
    <row r="142" spans="2:72" ht="15.75" customHeight="1">
      <c r="B142" s="65"/>
      <c r="C142" s="66"/>
      <c r="D142" s="65"/>
      <c r="E142" s="65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70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R142" s="69"/>
      <c r="BS142" s="70"/>
      <c r="BT142" s="77"/>
    </row>
    <row r="143" spans="2:72" ht="15.75" customHeight="1">
      <c r="B143" s="65"/>
      <c r="C143" s="66"/>
      <c r="D143" s="65"/>
      <c r="E143" s="65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70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68"/>
      <c r="BM143" s="68"/>
      <c r="BN143" s="68"/>
      <c r="BO143" s="68"/>
      <c r="BP143" s="68"/>
      <c r="BR143" s="69"/>
      <c r="BS143" s="70"/>
      <c r="BT143" s="77"/>
    </row>
    <row r="144" spans="2:72" ht="15.75" customHeight="1">
      <c r="B144" s="65"/>
      <c r="C144" s="66"/>
      <c r="D144" s="65"/>
      <c r="E144" s="65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70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  <c r="AV144" s="68"/>
      <c r="AW144" s="68"/>
      <c r="AX144" s="68"/>
      <c r="AY144" s="68"/>
      <c r="AZ144" s="68"/>
      <c r="BA144" s="68"/>
      <c r="BB144" s="68"/>
      <c r="BC144" s="68"/>
      <c r="BD144" s="68"/>
      <c r="BE144" s="68"/>
      <c r="BF144" s="68"/>
      <c r="BG144" s="68"/>
      <c r="BH144" s="68"/>
      <c r="BI144" s="68"/>
      <c r="BJ144" s="68"/>
      <c r="BK144" s="68"/>
      <c r="BL144" s="68"/>
      <c r="BM144" s="68"/>
      <c r="BN144" s="68"/>
      <c r="BO144" s="68"/>
      <c r="BP144" s="68"/>
      <c r="BR144" s="69"/>
      <c r="BS144" s="70"/>
      <c r="BT144" s="77"/>
    </row>
    <row r="145" spans="2:72" ht="15.75" customHeight="1">
      <c r="B145" s="65"/>
      <c r="C145" s="66"/>
      <c r="D145" s="65"/>
      <c r="E145" s="65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70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68"/>
      <c r="BN145" s="68"/>
      <c r="BO145" s="68"/>
      <c r="BP145" s="68"/>
      <c r="BR145" s="69"/>
      <c r="BS145" s="70"/>
      <c r="BT145" s="77"/>
    </row>
    <row r="146" spans="2:72" ht="15.75" customHeight="1">
      <c r="B146" s="65"/>
      <c r="C146" s="66"/>
      <c r="D146" s="65"/>
      <c r="E146" s="65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70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68"/>
      <c r="BN146" s="68"/>
      <c r="BO146" s="68"/>
      <c r="BP146" s="68"/>
      <c r="BR146" s="69"/>
      <c r="BS146" s="70"/>
      <c r="BT146" s="77"/>
    </row>
    <row r="147" spans="2:72" ht="15.75" customHeight="1">
      <c r="B147" s="65"/>
      <c r="C147" s="66"/>
      <c r="D147" s="65"/>
      <c r="E147" s="65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70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68"/>
      <c r="AY147" s="68"/>
      <c r="AZ147" s="68"/>
      <c r="BA147" s="68"/>
      <c r="BB147" s="68"/>
      <c r="BC147" s="68"/>
      <c r="BD147" s="68"/>
      <c r="BE147" s="68"/>
      <c r="BF147" s="68"/>
      <c r="BG147" s="68"/>
      <c r="BH147" s="68"/>
      <c r="BI147" s="68"/>
      <c r="BJ147" s="68"/>
      <c r="BK147" s="68"/>
      <c r="BL147" s="68"/>
      <c r="BM147" s="68"/>
      <c r="BN147" s="68"/>
      <c r="BO147" s="68"/>
      <c r="BP147" s="68"/>
      <c r="BR147" s="69"/>
      <c r="BS147" s="70"/>
      <c r="BT147" s="77"/>
    </row>
    <row r="148" spans="2:72" ht="15.75" customHeight="1">
      <c r="B148" s="65"/>
      <c r="C148" s="66"/>
      <c r="D148" s="65"/>
      <c r="E148" s="65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70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68"/>
      <c r="BN148" s="68"/>
      <c r="BO148" s="68"/>
      <c r="BP148" s="68"/>
      <c r="BR148" s="69"/>
      <c r="BS148" s="70"/>
      <c r="BT148" s="77"/>
    </row>
    <row r="149" spans="2:72" ht="15.75" customHeight="1">
      <c r="B149" s="65"/>
      <c r="C149" s="66"/>
      <c r="D149" s="65"/>
      <c r="E149" s="65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70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8"/>
      <c r="BA149" s="68"/>
      <c r="BB149" s="68"/>
      <c r="BC149" s="68"/>
      <c r="BD149" s="68"/>
      <c r="BE149" s="68"/>
      <c r="BF149" s="68"/>
      <c r="BG149" s="68"/>
      <c r="BH149" s="68"/>
      <c r="BI149" s="68"/>
      <c r="BJ149" s="68"/>
      <c r="BK149" s="68"/>
      <c r="BL149" s="68"/>
      <c r="BM149" s="68"/>
      <c r="BN149" s="68"/>
      <c r="BO149" s="68"/>
      <c r="BP149" s="68"/>
      <c r="BR149" s="69"/>
      <c r="BS149" s="70"/>
      <c r="BT149" s="77"/>
    </row>
    <row r="150" spans="2:72" ht="15.75" customHeight="1">
      <c r="B150" s="65"/>
      <c r="C150" s="66"/>
      <c r="D150" s="65"/>
      <c r="E150" s="65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70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68"/>
      <c r="BN150" s="68"/>
      <c r="BO150" s="68"/>
      <c r="BP150" s="68"/>
      <c r="BR150" s="69"/>
      <c r="BS150" s="70"/>
      <c r="BT150" s="77"/>
    </row>
    <row r="151" spans="2:72" ht="15.75" customHeight="1">
      <c r="B151" s="65"/>
      <c r="C151" s="66"/>
      <c r="D151" s="65"/>
      <c r="E151" s="65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70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8"/>
      <c r="BC151" s="68"/>
      <c r="BD151" s="68"/>
      <c r="BE151" s="68"/>
      <c r="BF151" s="68"/>
      <c r="BG151" s="68"/>
      <c r="BH151" s="68"/>
      <c r="BI151" s="68"/>
      <c r="BJ151" s="68"/>
      <c r="BK151" s="68"/>
      <c r="BL151" s="68"/>
      <c r="BM151" s="68"/>
      <c r="BN151" s="68"/>
      <c r="BO151" s="68"/>
      <c r="BP151" s="68"/>
      <c r="BR151" s="69"/>
      <c r="BS151" s="70"/>
      <c r="BT151" s="77"/>
    </row>
    <row r="152" spans="2:72" ht="15.75" customHeight="1">
      <c r="B152" s="65"/>
      <c r="C152" s="66"/>
      <c r="D152" s="65"/>
      <c r="E152" s="65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70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8"/>
      <c r="BA152" s="68"/>
      <c r="BB152" s="68"/>
      <c r="BC152" s="68"/>
      <c r="BD152" s="68"/>
      <c r="BE152" s="68"/>
      <c r="BF152" s="68"/>
      <c r="BG152" s="68"/>
      <c r="BH152" s="68"/>
      <c r="BI152" s="68"/>
      <c r="BJ152" s="68"/>
      <c r="BK152" s="68"/>
      <c r="BL152" s="68"/>
      <c r="BM152" s="68"/>
      <c r="BN152" s="68"/>
      <c r="BO152" s="68"/>
      <c r="BP152" s="68"/>
      <c r="BR152" s="69"/>
      <c r="BS152" s="70"/>
      <c r="BT152" s="77"/>
    </row>
    <row r="153" spans="2:72" ht="15.75" customHeight="1">
      <c r="B153" s="65"/>
      <c r="C153" s="66"/>
      <c r="D153" s="65"/>
      <c r="E153" s="65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70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8"/>
      <c r="BA153" s="68"/>
      <c r="BB153" s="68"/>
      <c r="BC153" s="68"/>
      <c r="BD153" s="68"/>
      <c r="BE153" s="68"/>
      <c r="BF153" s="68"/>
      <c r="BG153" s="68"/>
      <c r="BH153" s="68"/>
      <c r="BI153" s="68"/>
      <c r="BJ153" s="68"/>
      <c r="BK153" s="68"/>
      <c r="BL153" s="68"/>
      <c r="BM153" s="68"/>
      <c r="BN153" s="68"/>
      <c r="BO153" s="68"/>
      <c r="BP153" s="68"/>
      <c r="BR153" s="69"/>
      <c r="BS153" s="70"/>
      <c r="BT153" s="77"/>
    </row>
    <row r="154" spans="2:72" ht="15.75" customHeight="1">
      <c r="B154" s="65"/>
      <c r="C154" s="66"/>
      <c r="D154" s="65"/>
      <c r="E154" s="65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70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8"/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  <c r="BM154" s="68"/>
      <c r="BN154" s="68"/>
      <c r="BO154" s="68"/>
      <c r="BP154" s="68"/>
      <c r="BR154" s="69"/>
      <c r="BS154" s="70"/>
      <c r="BT154" s="77"/>
    </row>
    <row r="155" spans="2:72" ht="15.75" customHeight="1">
      <c r="B155" s="65"/>
      <c r="C155" s="66"/>
      <c r="D155" s="65"/>
      <c r="E155" s="65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70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68"/>
      <c r="BM155" s="68"/>
      <c r="BN155" s="68"/>
      <c r="BO155" s="68"/>
      <c r="BP155" s="68"/>
      <c r="BR155" s="69"/>
      <c r="BS155" s="70"/>
      <c r="BT155" s="77"/>
    </row>
    <row r="156" spans="2:72" ht="15.75" customHeight="1">
      <c r="B156" s="65"/>
      <c r="C156" s="66"/>
      <c r="D156" s="65"/>
      <c r="E156" s="65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70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  <c r="BB156" s="68"/>
      <c r="BC156" s="68"/>
      <c r="BD156" s="68"/>
      <c r="BE156" s="68"/>
      <c r="BF156" s="68"/>
      <c r="BG156" s="68"/>
      <c r="BH156" s="68"/>
      <c r="BI156" s="68"/>
      <c r="BJ156" s="68"/>
      <c r="BK156" s="68"/>
      <c r="BL156" s="68"/>
      <c r="BM156" s="68"/>
      <c r="BN156" s="68"/>
      <c r="BO156" s="68"/>
      <c r="BP156" s="68"/>
      <c r="BR156" s="69"/>
      <c r="BS156" s="70"/>
      <c r="BT156" s="77"/>
    </row>
    <row r="157" spans="2:72" ht="15.75" customHeight="1">
      <c r="B157" s="65"/>
      <c r="C157" s="66"/>
      <c r="D157" s="65"/>
      <c r="E157" s="65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70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8"/>
      <c r="BA157" s="68"/>
      <c r="BB157" s="68"/>
      <c r="BC157" s="68"/>
      <c r="BD157" s="68"/>
      <c r="BE157" s="68"/>
      <c r="BF157" s="68"/>
      <c r="BG157" s="68"/>
      <c r="BH157" s="68"/>
      <c r="BI157" s="68"/>
      <c r="BJ157" s="68"/>
      <c r="BK157" s="68"/>
      <c r="BL157" s="68"/>
      <c r="BM157" s="68"/>
      <c r="BN157" s="68"/>
      <c r="BO157" s="68"/>
      <c r="BP157" s="68"/>
      <c r="BR157" s="69"/>
      <c r="BS157" s="70"/>
      <c r="BT157" s="77"/>
    </row>
    <row r="1048258" spans="2:3">
      <c r="B1048258" s="61">
        <v>0</v>
      </c>
    </row>
    <row r="1048259" spans="2:3">
      <c r="C1048259" s="63" t="s">
        <v>19</v>
      </c>
    </row>
    <row r="1048284" spans="2:2">
      <c r="B1048284" s="61" t="s">
        <v>20</v>
      </c>
    </row>
  </sheetData>
  <mergeCells count="8">
    <mergeCell ref="A1:A2"/>
    <mergeCell ref="BT1:BT2"/>
    <mergeCell ref="BR1:BR2"/>
    <mergeCell ref="BS1:BS2"/>
    <mergeCell ref="B1:B2"/>
    <mergeCell ref="C1:C2"/>
    <mergeCell ref="D1:D2"/>
    <mergeCell ref="E1:E2"/>
  </mergeCells>
  <phoneticPr fontId="27" type="noConversion"/>
  <conditionalFormatting sqref="B3:B1048576">
    <cfRule type="duplicateValues" dxfId="284" priority="244"/>
  </conditionalFormatting>
  <conditionalFormatting sqref="B16:B1048576">
    <cfRule type="duplicateValues" dxfId="283" priority="169"/>
    <cfRule type="duplicateValues" dxfId="282" priority="170"/>
    <cfRule type="duplicateValues" dxfId="281" priority="171"/>
  </conditionalFormatting>
  <conditionalFormatting sqref="B195:B1048576 B16:B183">
    <cfRule type="duplicateValues" dxfId="280" priority="186"/>
    <cfRule type="duplicateValues" dxfId="279" priority="198"/>
  </conditionalFormatting>
  <conditionalFormatting sqref="C46:C47">
    <cfRule type="duplicateValues" dxfId="278" priority="16"/>
  </conditionalFormatting>
  <conditionalFormatting sqref="C48:C1048576 C3:C45">
    <cfRule type="duplicateValues" dxfId="277" priority="254"/>
  </conditionalFormatting>
  <conditionalFormatting sqref="E14">
    <cfRule type="duplicateValues" dxfId="276" priority="124"/>
    <cfRule type="duplicateValues" dxfId="275" priority="125"/>
    <cfRule type="duplicateValues" dxfId="274" priority="126"/>
    <cfRule type="duplicateValues" dxfId="273" priority="127"/>
    <cfRule type="duplicateValues" dxfId="272" priority="128"/>
    <cfRule type="duplicateValues" dxfId="271" priority="129"/>
  </conditionalFormatting>
  <conditionalFormatting sqref="F1:BP3 F4:X54 Y23:BC23 BE23:BP23 Y24:BQ24 Y28:AC28 AE28:BP28 Y25:BP27 Y29:BP54 Y4:BP22">
    <cfRule type="expression" dxfId="270" priority="7">
      <formula>F$1="Fri"</formula>
    </cfRule>
  </conditionalFormatting>
  <conditionalFormatting sqref="BD23">
    <cfRule type="expression" dxfId="269" priority="281">
      <formula>BE$1="Fri"</formula>
    </cfRule>
  </conditionalFormatting>
  <conditionalFormatting sqref="BT19">
    <cfRule type="duplicateValues" dxfId="268" priority="2"/>
  </conditionalFormatting>
  <conditionalFormatting sqref="BT22">
    <cfRule type="duplicateValues" dxfId="267" priority="3"/>
  </conditionalFormatting>
  <conditionalFormatting sqref="BT24">
    <cfRule type="duplicateValues" dxfId="266" priority="4"/>
  </conditionalFormatting>
  <conditionalFormatting sqref="BT26">
    <cfRule type="duplicateValues" dxfId="265" priority="241"/>
  </conditionalFormatting>
  <conditionalFormatting sqref="BT30">
    <cfRule type="duplicateValues" dxfId="264" priority="6"/>
  </conditionalFormatting>
  <conditionalFormatting sqref="BT35">
    <cfRule type="duplicateValues" dxfId="263" priority="242"/>
  </conditionalFormatting>
  <conditionalFormatting sqref="BT43">
    <cfRule type="duplicateValues" dxfId="262" priority="279"/>
  </conditionalFormatting>
  <conditionalFormatting sqref="BT53">
    <cfRule type="duplicateValues" dxfId="261" priority="1"/>
  </conditionalFormatting>
  <conditionalFormatting sqref="BT54">
    <cfRule type="duplicateValues" dxfId="260" priority="17"/>
  </conditionalFormatting>
  <printOptions horizontalCentered="1"/>
  <pageMargins left="0" right="0" top="0.25" bottom="0" header="0" footer="0"/>
  <pageSetup paperSize="8" scale="43" fitToHeight="3" orientation="landscape" r:id="rId1"/>
  <rowBreaks count="1" manualBreakCount="1">
    <brk id="54" min="1" max="7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 codeName="Sheet108"/>
  <dimension ref="A1:H34"/>
  <sheetViews>
    <sheetView topLeftCell="B1" workbookViewId="0">
      <selection activeCell="I16" sqref="I16"/>
    </sheetView>
  </sheetViews>
  <sheetFormatPr defaultRowHeight="14.4"/>
  <cols>
    <col min="1" max="1" width="26.6640625" customWidth="1"/>
    <col min="6" max="6" width="16.5546875" bestFit="1" customWidth="1"/>
    <col min="7" max="7" width="11.44140625" customWidth="1"/>
  </cols>
  <sheetData>
    <row r="1" spans="1:7" ht="17.25" customHeight="1" thickBot="1">
      <c r="A1" s="1" t="s">
        <v>39</v>
      </c>
    </row>
    <row r="2" spans="1:7" ht="16.5" customHeight="1">
      <c r="A2" s="1" t="s">
        <v>40</v>
      </c>
      <c r="F2" s="52" t="s">
        <v>41</v>
      </c>
      <c r="G2" s="53" t="s">
        <v>46</v>
      </c>
    </row>
    <row r="3" spans="1:7" ht="16.5" customHeight="1">
      <c r="A3" s="1" t="s">
        <v>43</v>
      </c>
      <c r="F3" s="54" t="s">
        <v>31</v>
      </c>
      <c r="G3" s="55">
        <f>DATE(2026, MONTH(DATEVALUE("1"&amp;G2)), DAY(DATEVALUE("1"&amp;G2)))</f>
        <v>46235</v>
      </c>
    </row>
    <row r="4" spans="1:7" ht="16.5" customHeight="1">
      <c r="A4" s="1" t="s">
        <v>44</v>
      </c>
      <c r="F4" s="54" t="s">
        <v>32</v>
      </c>
      <c r="G4" s="55">
        <f>EOMONTH(G3,0)</f>
        <v>46265</v>
      </c>
    </row>
    <row r="5" spans="1:7" ht="17.25" customHeight="1" thickBot="1">
      <c r="A5" s="1" t="s">
        <v>30</v>
      </c>
      <c r="F5" s="56"/>
      <c r="G5" s="57"/>
    </row>
    <row r="6" spans="1:7" ht="16.5" customHeight="1">
      <c r="A6" s="1" t="s">
        <v>33</v>
      </c>
      <c r="F6" s="52" t="s">
        <v>45</v>
      </c>
      <c r="G6" s="53" t="s">
        <v>48</v>
      </c>
    </row>
    <row r="7" spans="1:7" ht="16.5" customHeight="1">
      <c r="A7" s="1" t="s">
        <v>47</v>
      </c>
      <c r="F7" s="54" t="s">
        <v>31</v>
      </c>
      <c r="G7" s="55">
        <f>DATE(2026, MONTH(DATEVALUE("1"&amp;G6)), DAY(DATEVALUE("1"&amp;G6)))</f>
        <v>46266</v>
      </c>
    </row>
    <row r="8" spans="1:7" ht="16.5" customHeight="1">
      <c r="A8" s="1" t="s">
        <v>42</v>
      </c>
      <c r="F8" s="54" t="s">
        <v>32</v>
      </c>
      <c r="G8" s="55">
        <f>EOMONTH(G7,0)</f>
        <v>46295</v>
      </c>
    </row>
    <row r="9" spans="1:7" ht="16.5" customHeight="1">
      <c r="A9" s="1" t="s">
        <v>46</v>
      </c>
      <c r="F9" s="51"/>
      <c r="G9" s="59"/>
    </row>
    <row r="10" spans="1:7" ht="16.5" customHeight="1">
      <c r="A10" s="1" t="s">
        <v>48</v>
      </c>
    </row>
    <row r="11" spans="1:7" ht="16.5" customHeight="1">
      <c r="A11" s="1" t="s">
        <v>49</v>
      </c>
    </row>
    <row r="12" spans="1:7" ht="16.5" customHeight="1">
      <c r="A12" s="1" t="s">
        <v>50</v>
      </c>
    </row>
    <row r="13" spans="1:7" ht="16.5" customHeight="1">
      <c r="A13" s="1" t="s">
        <v>51</v>
      </c>
    </row>
    <row r="34" spans="8:8">
      <c r="H34" t="s">
        <v>133</v>
      </c>
    </row>
  </sheetData>
  <dataValidations count="1">
    <dataValidation type="list" allowBlank="1" showInputMessage="1" showErrorMessage="1" sqref="G2 G6" xr:uid="{00000000-0002-0000-CD00-000000000000}">
      <formula1>$A$2:$A$13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DAA5-F32E-4971-92D7-B7DF9F87F158}">
  <sheetPr codeName="Sheet2"/>
  <dimension ref="A1:AL37"/>
  <sheetViews>
    <sheetView showGridLines="0" topLeftCell="B1" zoomScale="70" zoomScaleNormal="70" zoomScaleSheetLayoutView="70" workbookViewId="0">
      <selection activeCell="Y19" sqref="Y19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2078939747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2078939747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HAMADH ISMAIL HASSAN OLAYWA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 xml:space="preserve">SENIOR FOREMAN 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1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1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1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1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1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1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1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1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1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1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1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11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1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1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1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1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4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15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HAMADH ISMAIL HASSAN OLAYWA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46270.367600925929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46270.367595023148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46270.367595370371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259" priority="2" operator="equal">
      <formula>0</formula>
    </cfRule>
    <cfRule type="expression" dxfId="258" priority="3" stopIfTrue="1">
      <formula>OR(D10="Fri")</formula>
    </cfRule>
  </conditionalFormatting>
  <conditionalFormatting sqref="D24:AH24">
    <cfRule type="cellIs" dxfId="257" priority="4" operator="equal">
      <formula>0</formula>
    </cfRule>
    <cfRule type="expression" dxfId="256" priority="5" stopIfTrue="1">
      <formula>OR(D22="Fri")</formula>
    </cfRule>
  </conditionalFormatting>
  <conditionalFormatting sqref="W26:AG30">
    <cfRule type="containsText" dxfId="25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64722B5D-1A60-4CC4-B8E1-EA4BDAAD5CF9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A079-FFB4-4721-BA5D-A322D98A7050}">
  <sheetPr codeName="Sheet3"/>
  <dimension ref="A1:AL37"/>
  <sheetViews>
    <sheetView showGridLines="0" topLeftCell="B1" zoomScale="70" zoomScaleNormal="70" zoomScaleSheetLayoutView="70" workbookViewId="0">
      <selection activeCell="O19" sqref="O19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1401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1401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SYED NISAR MEHDI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DC &amp; ADMN.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0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0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0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0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0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0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0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0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0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0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0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0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0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0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0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0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t="str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 xml:space="preserve">Sick Leave 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0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SYED NISAR MEHDI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46270.36760740741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46270.367607291664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46270.36760046296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254" priority="2" operator="equal">
      <formula>0</formula>
    </cfRule>
    <cfRule type="expression" dxfId="253" priority="3" stopIfTrue="1">
      <formula>OR(D10="Fri")</formula>
    </cfRule>
  </conditionalFormatting>
  <conditionalFormatting sqref="D24:AH24">
    <cfRule type="cellIs" dxfId="252" priority="4" operator="equal">
      <formula>0</formula>
    </cfRule>
    <cfRule type="expression" dxfId="251" priority="5" stopIfTrue="1">
      <formula>OR(D22="Fri")</formula>
    </cfRule>
  </conditionalFormatting>
  <conditionalFormatting sqref="W26:AG30">
    <cfRule type="containsText" dxfId="25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99D4C10C-8804-4760-B590-B6FA04DC68C5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031E8-3A5F-45E4-B54C-5A951F869C15}">
  <sheetPr codeName="Sheet4"/>
  <dimension ref="A1:AL37"/>
  <sheetViews>
    <sheetView showGridLines="0" topLeftCell="B1" zoomScale="70" zoomScaleNormal="70" zoomScaleSheetLayoutView="70" workbookViewId="0">
      <selection activeCell="V16" sqref="V16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2512936473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2512936473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MOHAMED ABDELNABI ABURIYA 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FINISHING FOREMAN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t="str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V</v>
      </c>
      <c r="W12" s="28" t="str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V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t="str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V</v>
      </c>
      <c r="Z12" s="28" t="str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V</v>
      </c>
      <c r="AA12" s="28" t="str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V</v>
      </c>
      <c r="AB12" s="28" t="str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V</v>
      </c>
      <c r="AC12" s="28" t="str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V</v>
      </c>
      <c r="AD12" s="28" t="str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V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t="str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V</v>
      </c>
      <c r="AG12" s="28" t="str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V</v>
      </c>
      <c r="AH12" s="28" t="str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V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0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t="str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V</v>
      </c>
      <c r="E24" s="28" t="str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V</v>
      </c>
      <c r="F24" s="28" t="str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V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0</v>
      </c>
      <c r="H24" s="28" t="str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V</v>
      </c>
      <c r="I24" s="28" t="str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V</v>
      </c>
      <c r="J24" s="28" t="str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V</v>
      </c>
      <c r="K24" s="28" t="str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V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0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t="str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On Annual Vacation From (09.Aug.2026   to   8.Sep.2026)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0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 xml:space="preserve">MOHAMED ABDELNABI ABURIYA 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46270.367607291664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46270.36760046296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46270.367607175926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249" priority="2" operator="equal">
      <formula>0</formula>
    </cfRule>
    <cfRule type="expression" dxfId="248" priority="3" stopIfTrue="1">
      <formula>OR(D10="Fri")</formula>
    </cfRule>
  </conditionalFormatting>
  <conditionalFormatting sqref="D24:AH24">
    <cfRule type="cellIs" dxfId="247" priority="4" operator="equal">
      <formula>0</formula>
    </cfRule>
    <cfRule type="expression" dxfId="246" priority="5" stopIfTrue="1">
      <formula>OR(D22="Fri")</formula>
    </cfRule>
  </conditionalFormatting>
  <conditionalFormatting sqref="W26:AG30">
    <cfRule type="containsText" dxfId="245" priority="1" operator="containsText" text="0">
      <formula>NOT(ISERROR(SEARCH("0",W26)))</formula>
    </cfRule>
  </conditionalFormatting>
  <dataValidations disablePrompts="1" count="1">
    <dataValidation type="list" allowBlank="1" showInputMessage="1" showErrorMessage="1" sqref="AK15 AK19" xr:uid="{268AB8FE-1F56-48AF-9618-AA1DAA02B785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49ED-8666-4032-A3B6-398E86A3278C}">
  <sheetPr codeName="Sheet5"/>
  <dimension ref="A1:AL37"/>
  <sheetViews>
    <sheetView showGridLines="0" topLeftCell="B1" zoomScale="70" zoomScaleNormal="70" zoomScaleSheetLayoutView="70" workbookViewId="0">
      <selection activeCell="Y16" sqref="Y16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2377490566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2377490566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AHMED SALAHELDIN IBRAHIM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SAFETY SUPERVISOR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9"/>
      <c r="S12" s="29"/>
      <c r="T12" s="29"/>
      <c r="U12" s="29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1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1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1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1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1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1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1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1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1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1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1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11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1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1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8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1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14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25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AHMED SALAHELDIN IBRAHIM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46270.367595023148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46270.367595370371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46270.367607291664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244" priority="2" operator="equal">
      <formula>0</formula>
    </cfRule>
    <cfRule type="expression" dxfId="243" priority="3" stopIfTrue="1">
      <formula>OR(D10="Fri")</formula>
    </cfRule>
  </conditionalFormatting>
  <conditionalFormatting sqref="D24:AH24">
    <cfRule type="cellIs" dxfId="242" priority="4" operator="equal">
      <formula>0</formula>
    </cfRule>
    <cfRule type="expression" dxfId="241" priority="5" stopIfTrue="1">
      <formula>OR(D22="Fri")</formula>
    </cfRule>
  </conditionalFormatting>
  <conditionalFormatting sqref="W26:AG30">
    <cfRule type="containsText" dxfId="24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97C1B466-B179-4104-B290-09AFD4B6476C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07A5-9AAC-45B7-9A7B-D2055517A772}">
  <sheetPr codeName="Sheet6"/>
  <dimension ref="A1:AL37"/>
  <sheetViews>
    <sheetView showGridLines="0" topLeftCell="B1" zoomScale="70" zoomScaleNormal="70" zoomScaleSheetLayoutView="70" workbookViewId="0">
      <selection activeCell="W14" sqref="W14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775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775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HAZIM GAMAL ALRASHEED 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SURVEYOR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9"/>
      <c r="S12" s="29"/>
      <c r="T12" s="29"/>
      <c r="U12" s="29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1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1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1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1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1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1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1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1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1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1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1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11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1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1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1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1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4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15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 xml:space="preserve">HAZIM GAMAL ALRASHEED 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46270.367572222225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46270.367572222225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46270.367572222225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239" priority="2" operator="equal">
      <formula>0</formula>
    </cfRule>
    <cfRule type="expression" dxfId="238" priority="3" stopIfTrue="1">
      <formula>OR(D10="Fri")</formula>
    </cfRule>
  </conditionalFormatting>
  <conditionalFormatting sqref="D24:AH24">
    <cfRule type="cellIs" dxfId="237" priority="4" operator="equal">
      <formula>0</formula>
    </cfRule>
    <cfRule type="expression" dxfId="236" priority="5" stopIfTrue="1">
      <formula>OR(D22="Fri")</formula>
    </cfRule>
  </conditionalFormatting>
  <conditionalFormatting sqref="W26:AG30">
    <cfRule type="containsText" dxfId="23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97D946BA-D6C6-4A0F-AFEC-F54E4C962F5B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568E-632A-41D3-8394-641FFB6D18B6}">
  <sheetPr codeName="Sheet7"/>
  <dimension ref="A1:AL37"/>
  <sheetViews>
    <sheetView showGridLines="0" topLeftCell="B1" zoomScale="70" zoomScaleNormal="70" zoomScaleSheetLayoutView="70" workbookViewId="0">
      <selection activeCell="R13" sqref="R13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2588344990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2588344990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IMRAN MUNIR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SURVEYOR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9"/>
      <c r="S12" s="29"/>
      <c r="T12" s="29"/>
      <c r="U12" s="29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1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1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1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1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1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1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1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1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1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1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1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11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1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1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1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1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10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21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IMRAN MUNIR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46270.367582986109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46270.367577662037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46270.36757800926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234" priority="2" operator="equal">
      <formula>0</formula>
    </cfRule>
    <cfRule type="expression" dxfId="233" priority="3" stopIfTrue="1">
      <formula>OR(D10="Fri")</formula>
    </cfRule>
  </conditionalFormatting>
  <conditionalFormatting sqref="D24:AH24">
    <cfRule type="cellIs" dxfId="232" priority="4" operator="equal">
      <formula>0</formula>
    </cfRule>
    <cfRule type="expression" dxfId="231" priority="5" stopIfTrue="1">
      <formula>OR(D22="Fri")</formula>
    </cfRule>
  </conditionalFormatting>
  <conditionalFormatting sqref="W26:AG30">
    <cfRule type="containsText" dxfId="23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D986367C-7BBD-48B6-A570-C156A7F3A3F8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33EF-1E10-4CCE-87C7-01B476E5201B}">
  <sheetPr codeName="Sheet8"/>
  <dimension ref="A1:AL37"/>
  <sheetViews>
    <sheetView showGridLines="0" topLeftCell="B1" zoomScale="70" zoomScaleNormal="70" zoomScaleSheetLayoutView="70" workbookViewId="0">
      <selection activeCell="S14" sqref="S14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2412520922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2412520922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RAMADAN RAMADAN ABDELHAMID ELGOHARY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MECHANICAL FOREMAN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2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22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8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30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RAMADAN RAMADAN ABDELHAMID ELGOHARY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46270.367582986109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46270.367577662037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46270.36757800926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229" priority="2" operator="equal">
      <formula>0</formula>
    </cfRule>
    <cfRule type="expression" dxfId="228" priority="3" stopIfTrue="1">
      <formula>OR(D10="Fri")</formula>
    </cfRule>
  </conditionalFormatting>
  <conditionalFormatting sqref="D24:AH24">
    <cfRule type="cellIs" dxfId="227" priority="4" operator="equal">
      <formula>0</formula>
    </cfRule>
    <cfRule type="expression" dxfId="226" priority="5" stopIfTrue="1">
      <formula>OR(D22="Fri")</formula>
    </cfRule>
  </conditionalFormatting>
  <conditionalFormatting sqref="W26:AG30">
    <cfRule type="containsText" dxfId="22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FDA4580B-9B0E-473C-9BFB-F80AE1C66830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76C7C-EB06-415B-96B8-AFCB0F29B793}">
  <sheetPr codeName="Sheet9"/>
  <dimension ref="A1:AL37"/>
  <sheetViews>
    <sheetView showGridLines="0" topLeftCell="B10" zoomScale="70" zoomScaleNormal="70" zoomScaleSheetLayoutView="70" workbookViewId="0">
      <selection activeCell="T18" sqref="T18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2533698649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2533698649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IQBAL MOFIZUR RAHMAN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Loader Operator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2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34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15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49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IQBAL MOFIZUR RAHMAN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46270.36757534722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46270.36757534722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46270.36757534722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224" priority="2" operator="equal">
      <formula>0</formula>
    </cfRule>
    <cfRule type="expression" dxfId="223" priority="3" stopIfTrue="1">
      <formula>OR(D10="Fri")</formula>
    </cfRule>
  </conditionalFormatting>
  <conditionalFormatting sqref="D24:AH24">
    <cfRule type="cellIs" dxfId="222" priority="4" operator="equal">
      <formula>0</formula>
    </cfRule>
    <cfRule type="expression" dxfId="221" priority="5" stopIfTrue="1">
      <formula>OR(D22="Fri")</formula>
    </cfRule>
  </conditionalFormatting>
  <conditionalFormatting sqref="W26:AG30">
    <cfRule type="containsText" dxfId="22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56B45C16-0515-4E34-8619-DF03B8F01E37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A099-633A-4DB9-84DC-AE4F6F668409}">
  <sheetPr codeName="Sheet10"/>
  <dimension ref="A1:AL37"/>
  <sheetViews>
    <sheetView showGridLines="0" topLeftCell="B10" zoomScale="70" zoomScaleNormal="70" zoomScaleSheetLayoutView="70" workbookViewId="0">
      <selection activeCell="U15" sqref="U15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1018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1018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SANA ULLAH HASHAM KHAN 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CONSTRUCTION WORKER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t="str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A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t="str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A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22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14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36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 xml:space="preserve">SANA ULLAH HASHAM KHAN 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46270.367582986109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46270.367582986109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46270.367577662037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219" priority="2" operator="equal">
      <formula>0</formula>
    </cfRule>
    <cfRule type="expression" dxfId="218" priority="3" stopIfTrue="1">
      <formula>OR(D10="Fri")</formula>
    </cfRule>
  </conditionalFormatting>
  <conditionalFormatting sqref="D24:AH24">
    <cfRule type="cellIs" dxfId="217" priority="4" operator="equal">
      <formula>0</formula>
    </cfRule>
    <cfRule type="expression" dxfId="216" priority="5" stopIfTrue="1">
      <formula>OR(D22="Fri")</formula>
    </cfRule>
  </conditionalFormatting>
  <conditionalFormatting sqref="W26:AG30">
    <cfRule type="containsText" dxfId="21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ECE9D7DA-2BE2-47AA-B17E-985D8E78E917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0EC0-3C51-4EDD-A1CA-F2C145C03ABF}">
  <sheetPr codeName="Sheet11"/>
  <dimension ref="A1:AL37"/>
  <sheetViews>
    <sheetView showGridLines="0" topLeftCell="B11" zoomScale="70" zoomScaleNormal="70" zoomScaleSheetLayoutView="70" workbookViewId="0">
      <selection activeCell="Y18" sqref="Y18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2527497917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2527497917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TILOK CHAND SHYOJI RAM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Telescope Forklifter Operator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26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9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35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TILOK CHAND SHYOJI RAM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46270.36757534722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46270.36757534722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46270.36757534722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214" priority="2" operator="equal">
      <formula>0</formula>
    </cfRule>
    <cfRule type="expression" dxfId="213" priority="3" stopIfTrue="1">
      <formula>OR(D10="Fri")</formula>
    </cfRule>
  </conditionalFormatting>
  <conditionalFormatting sqref="D24:AH24">
    <cfRule type="cellIs" dxfId="212" priority="4" operator="equal">
      <formula>0</formula>
    </cfRule>
    <cfRule type="expression" dxfId="211" priority="5" stopIfTrue="1">
      <formula>OR(D22="Fri")</formula>
    </cfRule>
  </conditionalFormatting>
  <conditionalFormatting sqref="W26:AG30">
    <cfRule type="containsText" dxfId="21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C6F1A96C-66D2-42D0-9E91-E89E1528921B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54C8-5AF1-40EA-99F5-81A9CE66908C}">
  <sheetPr codeName="Sheet12"/>
  <dimension ref="A1:AL37"/>
  <sheetViews>
    <sheetView showGridLines="0" topLeftCell="B6" zoomScale="70" zoomScaleNormal="70" zoomScaleSheetLayoutView="70" workbookViewId="0">
      <selection activeCell="V16" sqref="V16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221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221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SARDAR ALI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SURVEY DRIVER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4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4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8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4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4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4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4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4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4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8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4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4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4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60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4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4</v>
      </c>
      <c r="F24" s="28" t="str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S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0</v>
      </c>
      <c r="H24" s="28" t="str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S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8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t="str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Co. Driver/Emp. Service/Night Security P&amp;D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68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SARDAR ALI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46270.36760046296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46270.367607175926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46270.367595370371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209" priority="2" operator="equal">
      <formula>0</formula>
    </cfRule>
    <cfRule type="expression" dxfId="208" priority="3" stopIfTrue="1">
      <formula>OR(D10="Fri")</formula>
    </cfRule>
  </conditionalFormatting>
  <conditionalFormatting sqref="D24:AH24">
    <cfRule type="cellIs" dxfId="207" priority="4" operator="equal">
      <formula>0</formula>
    </cfRule>
    <cfRule type="expression" dxfId="206" priority="5" stopIfTrue="1">
      <formula>OR(D22="Fri")</formula>
    </cfRule>
  </conditionalFormatting>
  <conditionalFormatting sqref="W26:AG30">
    <cfRule type="containsText" dxfId="20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B70F79C8-0A00-43C4-84D9-5E9740F454A0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9F46-C6BB-4087-B9E3-BCC36151C910}">
  <sheetPr codeName="Sheet13"/>
  <dimension ref="A1:AL37"/>
  <sheetViews>
    <sheetView showGridLines="0" topLeftCell="B1" zoomScale="70" zoomScaleNormal="70" zoomScaleSheetLayoutView="70" workbookViewId="0">
      <selection activeCell="V17" sqref="V1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220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220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BARBAR HUSSAIN HAQ NAWAZ KHAN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 xml:space="preserve">LOGISTICS OFFICER 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2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22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8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30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BARBAR HUSSAIN HAQ NAWAZ KHAN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46270.367572222225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46270.367572222225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46270.367572222225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204" priority="2" operator="equal">
      <formula>0</formula>
    </cfRule>
    <cfRule type="expression" dxfId="203" priority="3" stopIfTrue="1">
      <formula>OR(D10="Fri")</formula>
    </cfRule>
  </conditionalFormatting>
  <conditionalFormatting sqref="D24:AH24">
    <cfRule type="cellIs" dxfId="202" priority="4" operator="equal">
      <formula>0</formula>
    </cfRule>
    <cfRule type="expression" dxfId="201" priority="5" stopIfTrue="1">
      <formula>OR(D22="Fri")</formula>
    </cfRule>
  </conditionalFormatting>
  <conditionalFormatting sqref="W26:AG30">
    <cfRule type="containsText" dxfId="20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B7DD595B-CB97-4CFD-8E2F-07783B275F58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F6BC-C0E5-45D8-9047-7AB3C43B2339}">
  <sheetPr codeName="Sheet14"/>
  <dimension ref="A1:AL37"/>
  <sheetViews>
    <sheetView showGridLines="0" topLeftCell="B3" zoomScale="70" zoomScaleNormal="70" zoomScaleSheetLayoutView="70" workbookViewId="0">
      <selection activeCell="U18" sqref="U18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E00524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E00524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SOMAN MIAH MD ABDUL 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TEA BOY/OFFICE BOY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4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4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4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4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4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4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4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4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4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4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4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56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4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4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4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4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22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t="str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Site Teaboy / Office Boy / Friday Offices Cleaning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78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 xml:space="preserve">SOMAN MIAH MD ABDUL 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46270.36760046296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46270.367607175926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46270.367595370371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99" priority="2" operator="equal">
      <formula>0</formula>
    </cfRule>
    <cfRule type="expression" dxfId="198" priority="3" stopIfTrue="1">
      <formula>OR(D10="Fri")</formula>
    </cfRule>
  </conditionalFormatting>
  <conditionalFormatting sqref="D24:AH24">
    <cfRule type="cellIs" dxfId="197" priority="4" operator="equal">
      <formula>0</formula>
    </cfRule>
    <cfRule type="expression" dxfId="196" priority="5" stopIfTrue="1">
      <formula>OR(D22="Fri")</formula>
    </cfRule>
  </conditionalFormatting>
  <conditionalFormatting sqref="W26:AG30">
    <cfRule type="containsText" dxfId="19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68D52A47-D2A3-4860-AE75-DEF6EC18FDD6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75C6-5F55-43F9-84D1-B86D7472C743}">
  <sheetPr codeName="Sheet15"/>
  <dimension ref="A1:AL37"/>
  <sheetViews>
    <sheetView showGridLines="0" topLeftCell="B1" zoomScale="70" zoomScaleNormal="70" zoomScaleSheetLayoutView="70" workbookViewId="0">
      <selection activeCell="R17" sqref="R1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2620914099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2620914099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DHARMENDRA SAHANI 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CARPENTER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32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14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46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 xml:space="preserve">DHARMENDRA SAHANI 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46270.367582986109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46270.367582986109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46270.367577662037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94" priority="2" operator="equal">
      <formula>0</formula>
    </cfRule>
    <cfRule type="expression" dxfId="193" priority="3" stopIfTrue="1">
      <formula>OR(D10="Fri")</formula>
    </cfRule>
  </conditionalFormatting>
  <conditionalFormatting sqref="D24:AH24">
    <cfRule type="cellIs" dxfId="192" priority="4" operator="equal">
      <formula>0</formula>
    </cfRule>
    <cfRule type="expression" dxfId="191" priority="5" stopIfTrue="1">
      <formula>OR(D22="Fri")</formula>
    </cfRule>
  </conditionalFormatting>
  <conditionalFormatting sqref="W26:AG30">
    <cfRule type="containsText" dxfId="19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C6257746-3CF3-4A21-9808-35892D6C33B6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96D5-25F3-495F-A9C4-C0DCC26E1133}">
  <sheetPr codeName="Sheet16"/>
  <dimension ref="A1:AL37"/>
  <sheetViews>
    <sheetView showGridLines="0" topLeftCell="B1" zoomScale="70" zoomScaleNormal="70" zoomScaleSheetLayoutView="70" workbookViewId="0">
      <selection activeCell="P17" sqref="P1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NAJRE ALAM SHEKH MOHAMMAD ARIF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BRICK MASON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3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33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15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48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NAJRE ALAM SHEKH MOHAMMAD ARIF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46270.367595370371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46270.367600925929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46270.367595023148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89" priority="2" operator="equal">
      <formula>0</formula>
    </cfRule>
    <cfRule type="expression" dxfId="188" priority="3" stopIfTrue="1">
      <formula>OR(D10="Fri")</formula>
    </cfRule>
  </conditionalFormatting>
  <conditionalFormatting sqref="D24:AH24">
    <cfRule type="cellIs" dxfId="187" priority="4" operator="equal">
      <formula>0</formula>
    </cfRule>
    <cfRule type="expression" dxfId="186" priority="5" stopIfTrue="1">
      <formula>OR(D22="Fri")</formula>
    </cfRule>
  </conditionalFormatting>
  <conditionalFormatting sqref="W26:AG30">
    <cfRule type="containsText" dxfId="18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290164FC-6F1D-4FB0-8A27-03FBDA0D429C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A4C1-23EF-4070-BEDA-4A9F374BE97B}">
  <sheetPr codeName="Sheet17"/>
  <dimension ref="A1:AL37"/>
  <sheetViews>
    <sheetView showGridLines="0" topLeftCell="B1" zoomScale="70" zoomScaleNormal="70" zoomScaleSheetLayoutView="70" workbookViewId="0">
      <selection activeCell="P17" sqref="P1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21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21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MOHAMMAD IRFAN KHAN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CARPENTER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t="str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V</v>
      </c>
      <c r="W12" s="28" t="str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V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t="str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V</v>
      </c>
      <c r="Z12" s="28" t="str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V</v>
      </c>
      <c r="AA12" s="28" t="str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V</v>
      </c>
      <c r="AB12" s="28" t="str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V</v>
      </c>
      <c r="AC12" s="28" t="str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V</v>
      </c>
      <c r="AD12" s="28" t="str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V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t="str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V</v>
      </c>
      <c r="AG12" s="28" t="str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V</v>
      </c>
      <c r="AH12" s="28" t="str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V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0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t="str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V</v>
      </c>
      <c r="E24" s="28" t="str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V</v>
      </c>
      <c r="F24" s="28" t="str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V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0</v>
      </c>
      <c r="H24" s="28" t="str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V</v>
      </c>
      <c r="I24" s="28" t="str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V</v>
      </c>
      <c r="J24" s="28" t="str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V</v>
      </c>
      <c r="K24" s="28" t="str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V</v>
      </c>
      <c r="L24" s="28" t="str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V</v>
      </c>
      <c r="M24" s="28" t="str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V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t="str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V</v>
      </c>
      <c r="P24" s="28" t="str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V</v>
      </c>
      <c r="Q24" s="28" t="str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V</v>
      </c>
      <c r="R24" s="28" t="str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V</v>
      </c>
      <c r="S24" s="28" t="str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V</v>
      </c>
      <c r="T24" s="28" t="str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V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t="str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V</v>
      </c>
      <c r="W24" s="28" t="str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V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0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t="str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On Annual Vacation From (01.Aug.2026   to   22.Sep.2026)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0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MOHAMMAD IRFAN KHAN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46270.367595023148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46270.367595370371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46270.36760740741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84" priority="2" operator="equal">
      <formula>0</formula>
    </cfRule>
    <cfRule type="expression" dxfId="183" priority="3" stopIfTrue="1">
      <formula>OR(D10="Fri")</formula>
    </cfRule>
  </conditionalFormatting>
  <conditionalFormatting sqref="D24:AH24">
    <cfRule type="cellIs" dxfId="182" priority="4" operator="equal">
      <formula>0</formula>
    </cfRule>
    <cfRule type="expression" dxfId="181" priority="5" stopIfTrue="1">
      <formula>OR(D22="Fri")</formula>
    </cfRule>
  </conditionalFormatting>
  <conditionalFormatting sqref="W26:AG30">
    <cfRule type="containsText" dxfId="18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3EA413F9-AD37-49C6-9651-A64324D60666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6DFC-78DB-46A9-95C3-F779F6C3D73C}">
  <sheetPr codeName="Sheet18"/>
  <dimension ref="A1:AL37"/>
  <sheetViews>
    <sheetView showGridLines="0" topLeftCell="B1" zoomScale="70" zoomScaleNormal="70" zoomScaleSheetLayoutView="70" workbookViewId="0">
      <selection activeCell="S17" sqref="S1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57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57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MUHAMMAD GHANI SHAH MUHAMMAD RAHIM SHAH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MASON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t="str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A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18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14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32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MUHAMMAD GHANI SHAH MUHAMMAD RAHIM SHAH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46270.367582986109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46270.367577662037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46270.36757800926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79" priority="2" operator="equal">
      <formula>0</formula>
    </cfRule>
    <cfRule type="expression" dxfId="178" priority="3" stopIfTrue="1">
      <formula>OR(D10="Fri")</formula>
    </cfRule>
  </conditionalFormatting>
  <conditionalFormatting sqref="D24:AH24">
    <cfRule type="cellIs" dxfId="177" priority="4" operator="equal">
      <formula>0</formula>
    </cfRule>
    <cfRule type="expression" dxfId="176" priority="5" stopIfTrue="1">
      <formula>OR(D22="Fri")</formula>
    </cfRule>
  </conditionalFormatting>
  <conditionalFormatting sqref="W26:AG30">
    <cfRule type="containsText" dxfId="17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617D5205-E2EF-4401-94A0-0845C5B86E38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0075-443D-4C10-BDF0-531AC7021230}">
  <sheetPr codeName="Sheet19"/>
  <dimension ref="A1:AL37"/>
  <sheetViews>
    <sheetView showGridLines="0" topLeftCell="B7" zoomScale="70" zoomScaleNormal="70" zoomScaleSheetLayoutView="70" workbookViewId="0">
      <selection activeCell="S18" sqref="S18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62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62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ZAKIR KHAN HAZRAT GUL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CARPENTER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20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9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29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ZAKIR KHAN HAZRAT GUL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46270.367577662037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46270.36757800926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46270.36757800926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74" priority="2" operator="equal">
      <formula>0</formula>
    </cfRule>
    <cfRule type="expression" dxfId="173" priority="3" stopIfTrue="1">
      <formula>OR(D10="Fri")</formula>
    </cfRule>
  </conditionalFormatting>
  <conditionalFormatting sqref="D24:AH24">
    <cfRule type="cellIs" dxfId="172" priority="4" operator="equal">
      <formula>0</formula>
    </cfRule>
    <cfRule type="expression" dxfId="171" priority="5" stopIfTrue="1">
      <formula>OR(D22="Fri")</formula>
    </cfRule>
  </conditionalFormatting>
  <conditionalFormatting sqref="W26:AG30">
    <cfRule type="containsText" dxfId="17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D19207F9-93C2-4224-80D8-26A35092D969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0B18-EA2E-4B46-BA14-DCBE9739BC7F}">
  <sheetPr codeName="Sheet20"/>
  <dimension ref="A1:AL37"/>
  <sheetViews>
    <sheetView showGridLines="0" topLeftCell="B10" zoomScale="70" zoomScaleNormal="70" zoomScaleSheetLayoutView="70" workbookViewId="0">
      <selection activeCell="H35" sqref="H35:R35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65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65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MUHAMMAD QAMRAIZ SARFRAZ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BLOCK MASON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t="str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V</v>
      </c>
      <c r="W12" s="28" t="str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V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t="str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A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t="str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A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14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14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t="str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On Annual Vacation From (28.June.2026   to   20.Aug.2026)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28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MUHAMMAD QAMRAIZ SARFRAZ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46270.367595023148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46270.367595370371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46270.36760740741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69" priority="2" operator="equal">
      <formula>0</formula>
    </cfRule>
    <cfRule type="expression" dxfId="168" priority="3" stopIfTrue="1">
      <formula>OR(D10="Fri")</formula>
    </cfRule>
  </conditionalFormatting>
  <conditionalFormatting sqref="D24:AH24">
    <cfRule type="cellIs" dxfId="167" priority="4" operator="equal">
      <formula>0</formula>
    </cfRule>
    <cfRule type="expression" dxfId="166" priority="5" stopIfTrue="1">
      <formula>OR(D22="Fri")</formula>
    </cfRule>
  </conditionalFormatting>
  <conditionalFormatting sqref="W26:AG30">
    <cfRule type="containsText" dxfId="16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7669E677-4943-4EAC-978E-AA97F77F327B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D2FA-C13A-4904-B401-22B8F8AE581C}">
  <sheetPr codeName="Sheet21"/>
  <dimension ref="A1:AL37"/>
  <sheetViews>
    <sheetView showGridLines="0" topLeftCell="B1" zoomScale="70" zoomScaleNormal="70" zoomScaleSheetLayoutView="70" workbookViewId="0">
      <selection activeCell="T18" sqref="T18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69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69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SAYYAD ALI AMJAD ALI 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BLOCK MASON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3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3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4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3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3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4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3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3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3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4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45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3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3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3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18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t="str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Site Time Keeper, Logistic and Gate Pass &amp; Multipl Tasks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63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 xml:space="preserve">SAYYAD ALI AMJAD ALI 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46270.367595370371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46270.36760740741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46270.367607175926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64" priority="2" operator="equal">
      <formula>0</formula>
    </cfRule>
    <cfRule type="expression" dxfId="163" priority="3" stopIfTrue="1">
      <formula>OR(D10="Fri")</formula>
    </cfRule>
  </conditionalFormatting>
  <conditionalFormatting sqref="D24:AH24">
    <cfRule type="cellIs" dxfId="162" priority="4" operator="equal">
      <formula>0</formula>
    </cfRule>
    <cfRule type="expression" dxfId="161" priority="5" stopIfTrue="1">
      <formula>OR(D22="Fri")</formula>
    </cfRule>
  </conditionalFormatting>
  <conditionalFormatting sqref="W26:AG30">
    <cfRule type="containsText" dxfId="16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F86A68D1-8E71-4773-A501-67265883A537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46D0-48C5-45B9-88EB-7067A5A90CE7}">
  <sheetPr codeName="Sheet22"/>
  <dimension ref="A1:AL37"/>
  <sheetViews>
    <sheetView showGridLines="0" topLeftCell="B4" zoomScale="70" zoomScaleNormal="70" zoomScaleSheetLayoutView="70" workbookViewId="0">
      <selection activeCell="T19" sqref="T19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86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86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ZAHIR HAMEED SHAL HAMEED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MASON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32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t="str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V</v>
      </c>
      <c r="Y24" s="28" t="str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V</v>
      </c>
      <c r="Z24" s="28" t="str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V</v>
      </c>
      <c r="AA24" s="28" t="str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V</v>
      </c>
      <c r="AB24" s="28" t="str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V</v>
      </c>
      <c r="AC24" s="28" t="str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V</v>
      </c>
      <c r="AD24" s="28" t="str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V</v>
      </c>
      <c r="AE24" s="28" t="str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V</v>
      </c>
      <c r="AF24" s="28" t="str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V</v>
      </c>
      <c r="AG24" s="28" t="str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V</v>
      </c>
      <c r="AH24" s="28" t="str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V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14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46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ZAHIR HAMEED SHAL HAMEED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46270.367582986109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46270.367582986109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46270.367577662037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  <mergeCell ref="D31:G31"/>
    <mergeCell ref="D32:G32"/>
    <mergeCell ref="H32:R32"/>
    <mergeCell ref="W32:Z32"/>
    <mergeCell ref="D33:G33"/>
    <mergeCell ref="H33:R33"/>
    <mergeCell ref="W33:Z33"/>
    <mergeCell ref="C22:C23"/>
    <mergeCell ref="D26:F26"/>
    <mergeCell ref="G26:H26"/>
    <mergeCell ref="W26:AG30"/>
    <mergeCell ref="H27:K27"/>
    <mergeCell ref="M27:P27"/>
    <mergeCell ref="K28:R28"/>
    <mergeCell ref="S28:U28"/>
    <mergeCell ref="H15:K15"/>
    <mergeCell ref="M15:P15"/>
    <mergeCell ref="H18:K18"/>
    <mergeCell ref="C19:C20"/>
    <mergeCell ref="D19:H20"/>
    <mergeCell ref="I19:K20"/>
    <mergeCell ref="C7:C8"/>
    <mergeCell ref="D7:H8"/>
    <mergeCell ref="I7:K8"/>
    <mergeCell ref="C10:C11"/>
    <mergeCell ref="D14:F14"/>
    <mergeCell ref="G14:H14"/>
    <mergeCell ref="C2:AH2"/>
    <mergeCell ref="C4:C5"/>
    <mergeCell ref="D4:H5"/>
    <mergeCell ref="I4:L5"/>
    <mergeCell ref="M4:V5"/>
    <mergeCell ref="X4:AE5"/>
  </mergeCells>
  <conditionalFormatting sqref="D12:AH12">
    <cfRule type="cellIs" dxfId="159" priority="2" operator="equal">
      <formula>0</formula>
    </cfRule>
    <cfRule type="expression" dxfId="158" priority="3" stopIfTrue="1">
      <formula>OR(D10="Fri")</formula>
    </cfRule>
  </conditionalFormatting>
  <conditionalFormatting sqref="D24:AH24">
    <cfRule type="cellIs" dxfId="157" priority="4" operator="equal">
      <formula>0</formula>
    </cfRule>
    <cfRule type="expression" dxfId="156" priority="5" stopIfTrue="1">
      <formula>OR(D22="Fri")</formula>
    </cfRule>
  </conditionalFormatting>
  <conditionalFormatting sqref="W26:AG30">
    <cfRule type="containsText" dxfId="15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F8DBEF76-2770-4B34-9F21-A9DA8A2059C8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3FE89-3531-4F21-A6A6-9B287B4A5D3C}">
  <sheetPr codeName="Sheet23"/>
  <dimension ref="A1:AL37"/>
  <sheetViews>
    <sheetView showGridLines="0" topLeftCell="B1" zoomScale="70" zoomScaleNormal="70" zoomScaleSheetLayoutView="70" workbookViewId="0">
      <selection activeCell="U16" sqref="U16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91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91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JALAL KHAN MUHAMMAD TAHIR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CARPENTER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t="str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A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t="str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A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16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t="str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A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13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29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JALAL KHAN MUHAMMAD TAHIR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46270.367577662037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46270.36757800926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46270.36757800926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54" priority="2" operator="equal">
      <formula>0</formula>
    </cfRule>
    <cfRule type="expression" dxfId="153" priority="3" stopIfTrue="1">
      <formula>OR(D10="Fri")</formula>
    </cfRule>
  </conditionalFormatting>
  <conditionalFormatting sqref="D24:AH24">
    <cfRule type="cellIs" dxfId="152" priority="4" operator="equal">
      <formula>0</formula>
    </cfRule>
    <cfRule type="expression" dxfId="151" priority="5" stopIfTrue="1">
      <formula>OR(D22="Fri")</formula>
    </cfRule>
  </conditionalFormatting>
  <conditionalFormatting sqref="W26:AG30">
    <cfRule type="containsText" dxfId="15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FEA2E571-6EC7-44AB-A85C-C984DC1A5D31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A4C0-0409-4375-8F4E-88E04B34EC65}">
  <sheetPr codeName="Sheet24"/>
  <dimension ref="A1:AL37"/>
  <sheetViews>
    <sheetView showGridLines="0" topLeftCell="B4" zoomScale="70" zoomScaleNormal="70" zoomScaleSheetLayoutView="70" workbookViewId="0">
      <selection activeCell="W19" sqref="W19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98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98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AQIB KHAN MUSLIM KHAN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CARPENTER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4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4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12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4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6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4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6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4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4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6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4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4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62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4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4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4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12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4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28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t="str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On Duty Full Time : Store &amp; Logistics Helper – Night Duty (Material Receiving)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90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AQIB KHAN MUSLIM KHAN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46270.367607175926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46270.36760046296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46270.367607175926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49" priority="2" operator="equal">
      <formula>0</formula>
    </cfRule>
    <cfRule type="expression" dxfId="148" priority="3" stopIfTrue="1">
      <formula>OR(D10="Fri")</formula>
    </cfRule>
  </conditionalFormatting>
  <conditionalFormatting sqref="D24:AH24">
    <cfRule type="cellIs" dxfId="147" priority="4" operator="equal">
      <formula>0</formula>
    </cfRule>
    <cfRule type="expression" dxfId="146" priority="5" stopIfTrue="1">
      <formula>OR(D22="Fri")</formula>
    </cfRule>
  </conditionalFormatting>
  <conditionalFormatting sqref="W26:AG30">
    <cfRule type="containsText" dxfId="14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BA435C56-0D2B-493F-AC63-C09E680D3A78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F1EF-DEE3-46B0-908D-FB7A6CF8F935}">
  <sheetPr codeName="Sheet25"/>
  <dimension ref="A1:AL37"/>
  <sheetViews>
    <sheetView showGridLines="0" topLeftCell="C1" zoomScale="70" zoomScaleNormal="70" zoomScaleSheetLayoutView="70" workbookViewId="0">
      <selection activeCell="S16" sqref="S16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108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108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ARIF ABDUL WAHAB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CARPENTER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4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4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12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4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4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4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4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4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4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12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3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3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3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65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3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3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12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4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25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t="str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Night Security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90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ARIF ABDUL WAHAB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46270.367607175926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46270.367595370371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46270.367600925929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44" priority="2" operator="equal">
      <formula>0</formula>
    </cfRule>
    <cfRule type="expression" dxfId="143" priority="3" stopIfTrue="1">
      <formula>OR(D10="Fri")</formula>
    </cfRule>
  </conditionalFormatting>
  <conditionalFormatting sqref="D24:AH24">
    <cfRule type="cellIs" dxfId="142" priority="4" operator="equal">
      <formula>0</formula>
    </cfRule>
    <cfRule type="expression" dxfId="141" priority="5" stopIfTrue="1">
      <formula>OR(D22="Fri")</formula>
    </cfRule>
  </conditionalFormatting>
  <conditionalFormatting sqref="W26:AG30">
    <cfRule type="containsText" dxfId="14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9052A6EF-32D7-45EF-B83F-9F6682434D5F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4814-C518-4B5D-8A09-5D07D5205AE0}">
  <sheetPr codeName="Sheet26"/>
  <dimension ref="A1:AL37"/>
  <sheetViews>
    <sheetView showGridLines="0" topLeftCell="B1" zoomScale="70" zoomScaleNormal="70" zoomScaleSheetLayoutView="70" workbookViewId="0">
      <selection activeCell="T17" sqref="T1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113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113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MITHLESH KUMAR RAJNANDAN YADAV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ELECTRICIAN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26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14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40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MITHLESH KUMAR RAJNANDAN YADAV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46270.367607175926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46270.367595370371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46270.367600925929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39" priority="2" operator="equal">
      <formula>0</formula>
    </cfRule>
    <cfRule type="expression" dxfId="138" priority="3" stopIfTrue="1">
      <formula>OR(D10="Fri")</formula>
    </cfRule>
  </conditionalFormatting>
  <conditionalFormatting sqref="D24:AH24">
    <cfRule type="cellIs" dxfId="137" priority="4" operator="equal">
      <formula>0</formula>
    </cfRule>
    <cfRule type="expression" dxfId="136" priority="5" stopIfTrue="1">
      <formula>OR(D22="Fri")</formula>
    </cfRule>
  </conditionalFormatting>
  <conditionalFormatting sqref="W26:AG30">
    <cfRule type="containsText" dxfId="13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39462836-9A5B-4BA7-A0EA-1D636458FD21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8A83-4212-499A-A177-983E8418E9F3}">
  <sheetPr codeName="Sheet27"/>
  <dimension ref="A1:AL37"/>
  <sheetViews>
    <sheetView showGridLines="0" topLeftCell="B1" zoomScale="70" zoomScaleNormal="70" zoomScaleSheetLayoutView="70" workbookViewId="0">
      <selection activeCell="T14" sqref="T14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117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117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DEEN MOHAMMED JAFAR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TILE MASON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t="str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V</v>
      </c>
      <c r="AG12" s="28" t="str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V</v>
      </c>
      <c r="AH12" s="28" t="str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A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14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8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t="str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2 Days Internal Leave (29/30.Aug.2026)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22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DEEN MOHAMMED JAFAR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46270.367577662037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46270.36757800926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46270.36757800926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34" priority="2" operator="equal">
      <formula>0</formula>
    </cfRule>
    <cfRule type="expression" dxfId="133" priority="3" stopIfTrue="1">
      <formula>OR(D10="Fri")</formula>
    </cfRule>
  </conditionalFormatting>
  <conditionalFormatting sqref="D24:AH24">
    <cfRule type="cellIs" dxfId="132" priority="4" operator="equal">
      <formula>0</formula>
    </cfRule>
    <cfRule type="expression" dxfId="131" priority="5" stopIfTrue="1">
      <formula>OR(D22="Fri")</formula>
    </cfRule>
  </conditionalFormatting>
  <conditionalFormatting sqref="W26:AG30">
    <cfRule type="containsText" dxfId="13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B578AB45-F05E-49DD-8A17-F4C2A9ED3BDF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618B-4E6F-4113-8680-B1B8DF4A037F}">
  <sheetPr codeName="Sheet28"/>
  <dimension ref="A1:AL37"/>
  <sheetViews>
    <sheetView showGridLines="0" topLeftCell="B7" zoomScale="70" zoomScaleNormal="70" zoomScaleSheetLayoutView="70" workbookViewId="0">
      <selection activeCell="V19" sqref="V19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124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124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JAGDISH HEERA LAL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PLASTER MASON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t="str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A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18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t="str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A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7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25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JAGDISH HEERA LAL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46270.36757800926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46270.36757800926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46270.36757800926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29" priority="2" operator="equal">
      <formula>0</formula>
    </cfRule>
    <cfRule type="expression" dxfId="128" priority="3" stopIfTrue="1">
      <formula>OR(D10="Fri")</formula>
    </cfRule>
  </conditionalFormatting>
  <conditionalFormatting sqref="D24:AH24">
    <cfRule type="cellIs" dxfId="127" priority="4" operator="equal">
      <formula>0</formula>
    </cfRule>
    <cfRule type="expression" dxfId="126" priority="5" stopIfTrue="1">
      <formula>OR(D22="Fri")</formula>
    </cfRule>
  </conditionalFormatting>
  <conditionalFormatting sqref="W26:AG30">
    <cfRule type="containsText" dxfId="12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7874FC76-FA5B-493A-9ED7-67B02DF983DF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4512-29FB-4BD7-B159-2AC1D4FB7B05}">
  <sheetPr codeName="Sheet29"/>
  <dimension ref="A1:AL37"/>
  <sheetViews>
    <sheetView showGridLines="0" topLeftCell="B1" zoomScale="70" zoomScaleNormal="70" zoomScaleSheetLayoutView="70" workbookViewId="0">
      <selection activeCell="S16" sqref="S16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125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125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RINKU KUMAR BHANWAR LAL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PLASTER MASON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4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4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12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4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4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4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4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4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4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12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3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3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3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65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3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3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12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4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25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t="str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Night Security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90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RINKU KUMAR BHANWAR LAL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46270.367607175926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46270.367595370371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46270.367600925929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24" priority="2" operator="equal">
      <formula>0</formula>
    </cfRule>
    <cfRule type="expression" dxfId="123" priority="3" stopIfTrue="1">
      <formula>OR(D10="Fri")</formula>
    </cfRule>
  </conditionalFormatting>
  <conditionalFormatting sqref="D24:AH24">
    <cfRule type="cellIs" dxfId="122" priority="4" operator="equal">
      <formula>0</formula>
    </cfRule>
    <cfRule type="expression" dxfId="121" priority="5" stopIfTrue="1">
      <formula>OR(D22="Fri")</formula>
    </cfRule>
  </conditionalFormatting>
  <conditionalFormatting sqref="W26:AG30">
    <cfRule type="containsText" dxfId="12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9F5F6D8A-E99B-4D74-8385-BBB4575D78A2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45B2-FE84-42CD-BB5B-1C8DEA2BCBF0}">
  <sheetPr codeName="Sheet30"/>
  <dimension ref="A1:AL37"/>
  <sheetViews>
    <sheetView showGridLines="0" topLeftCell="B10" zoomScale="70" zoomScaleNormal="70" zoomScaleSheetLayoutView="70" workbookViewId="0">
      <selection activeCell="T17" sqref="T1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128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128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MD MOKHTAR MD SALIM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STEEL FIXER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32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14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46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MD MOKHTAR MD SALIM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46270.367577662037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46270.36757800926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46270.36757800926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19" priority="2" operator="equal">
      <formula>0</formula>
    </cfRule>
    <cfRule type="expression" dxfId="118" priority="3" stopIfTrue="1">
      <formula>OR(D10="Fri")</formula>
    </cfRule>
  </conditionalFormatting>
  <conditionalFormatting sqref="D24:AH24">
    <cfRule type="cellIs" dxfId="117" priority="4" operator="equal">
      <formula>0</formula>
    </cfRule>
    <cfRule type="expression" dxfId="116" priority="5" stopIfTrue="1">
      <formula>OR(D22="Fri")</formula>
    </cfRule>
  </conditionalFormatting>
  <conditionalFormatting sqref="W26:AG30">
    <cfRule type="containsText" dxfId="11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853154D6-A2CA-4F5D-AC2D-A5DED8FA3D81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E7B2-CF4E-4FC2-8ACB-3E0A4BFCE8C1}">
  <sheetPr codeName="Sheet31"/>
  <dimension ref="A1:AL37"/>
  <sheetViews>
    <sheetView showGridLines="0" topLeftCell="B1" zoomScale="70" zoomScaleNormal="70" zoomScaleSheetLayoutView="70" workbookViewId="0">
      <selection activeCell="H35" sqref="H35:R35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133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133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MUHAMMAD HAFEEZ KHAN HASHIM KHAN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PLUMBER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32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14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46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MUHAMMAD HAFEEZ KHAN HASHIM KHAN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46270.367600925929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46270.367595023148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46270.367595370371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14" priority="2" operator="equal">
      <formula>0</formula>
    </cfRule>
    <cfRule type="expression" dxfId="113" priority="3" stopIfTrue="1">
      <formula>OR(D10="Fri")</formula>
    </cfRule>
  </conditionalFormatting>
  <conditionalFormatting sqref="D24:AH24">
    <cfRule type="cellIs" dxfId="112" priority="4" operator="equal">
      <formula>0</formula>
    </cfRule>
    <cfRule type="expression" dxfId="111" priority="5" stopIfTrue="1">
      <formula>OR(D22="Fri")</formula>
    </cfRule>
  </conditionalFormatting>
  <conditionalFormatting sqref="W26:AG30">
    <cfRule type="containsText" dxfId="11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E651A616-7C04-46E5-BC0E-EAC68949F099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632F-421D-4922-B2E6-2D44FA7A491F}">
  <sheetPr codeName="Sheet32"/>
  <dimension ref="A1:AL37"/>
  <sheetViews>
    <sheetView showGridLines="0" topLeftCell="B1" zoomScale="70" zoomScaleNormal="70" zoomScaleSheetLayoutView="70" workbookViewId="0">
      <selection activeCell="V17" sqref="V1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135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135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HABIB ULLAH KHAN NOOR ULLAH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PLUMBER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20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t="str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A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12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32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HABIB ULLAH KHAN NOOR ULLAH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46270.367600925929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46270.367595023148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46270.367595370371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09" priority="2" operator="equal">
      <formula>0</formula>
    </cfRule>
    <cfRule type="expression" dxfId="108" priority="3" stopIfTrue="1">
      <formula>OR(D10="Fri")</formula>
    </cfRule>
  </conditionalFormatting>
  <conditionalFormatting sqref="D24:AH24">
    <cfRule type="cellIs" dxfId="107" priority="4" operator="equal">
      <formula>0</formula>
    </cfRule>
    <cfRule type="expression" dxfId="106" priority="5" stopIfTrue="1">
      <formula>OR(D22="Fri")</formula>
    </cfRule>
  </conditionalFormatting>
  <conditionalFormatting sqref="W26:AG30">
    <cfRule type="containsText" dxfId="10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ABC3C732-6561-49B7-9CAF-8B5B376D2A55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FCCB-E3E5-48C4-B4AF-D7D30B1A4A7A}">
  <sheetPr codeName="Sheet33"/>
  <dimension ref="A1:AL37"/>
  <sheetViews>
    <sheetView showGridLines="0" topLeftCell="B2" zoomScale="70" zoomScaleNormal="70" zoomScaleSheetLayoutView="70" workbookViewId="0">
      <selection activeCell="P14" sqref="P14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141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141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SHAH HUSSAIN GHULAM DIN 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PLASTER MASON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4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6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12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4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4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4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4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4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4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12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6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4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4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72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4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4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4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12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4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28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t="str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 xml:space="preserve">On Duty Full Time - Store &amp; Logistics Helper – Night Material Receiving 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100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 xml:space="preserve">SHAH HUSSAIN GHULAM DIN 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46270.367595370371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46270.367607291664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46270.367607175926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04" priority="2" operator="equal">
      <formula>0</formula>
    </cfRule>
    <cfRule type="expression" dxfId="103" priority="3" stopIfTrue="1">
      <formula>OR(D10="Fri")</formula>
    </cfRule>
  </conditionalFormatting>
  <conditionalFormatting sqref="D24:AH24">
    <cfRule type="cellIs" dxfId="102" priority="4" operator="equal">
      <formula>0</formula>
    </cfRule>
    <cfRule type="expression" dxfId="101" priority="5" stopIfTrue="1">
      <formula>OR(D22="Fri")</formula>
    </cfRule>
  </conditionalFormatting>
  <conditionalFormatting sqref="W26:AG30">
    <cfRule type="containsText" dxfId="10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04F32941-AF0A-4936-9B25-4C2BF47337CA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A1E80-76F9-4505-9027-068CACFCF944}">
  <sheetPr codeName="Sheet34"/>
  <dimension ref="A1:AL37"/>
  <sheetViews>
    <sheetView showGridLines="0" topLeftCell="B4" zoomScale="70" zoomScaleNormal="70" zoomScaleSheetLayoutView="70" workbookViewId="0">
      <selection activeCell="T15" sqref="T15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153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153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MOSIM AHMAD - NIJAMUDDEEN 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TILE MASON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26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t="str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A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12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38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 xml:space="preserve">MOSIM AHMAD - NIJAMUDDEEN 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46270.367607175926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46270.36760046296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46270.367607175926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99" priority="2" operator="equal">
      <formula>0</formula>
    </cfRule>
    <cfRule type="expression" dxfId="98" priority="3" stopIfTrue="1">
      <formula>OR(D10="Fri")</formula>
    </cfRule>
  </conditionalFormatting>
  <conditionalFormatting sqref="D24:AH24">
    <cfRule type="cellIs" dxfId="97" priority="4" operator="equal">
      <formula>0</formula>
    </cfRule>
    <cfRule type="expression" dxfId="96" priority="5" stopIfTrue="1">
      <formula>OR(D22="Fri")</formula>
    </cfRule>
  </conditionalFormatting>
  <conditionalFormatting sqref="W26:AG30">
    <cfRule type="containsText" dxfId="9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CF895BEA-4D2B-44B6-924C-DF9D42BCB8F6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EFA9-C12B-4256-A832-E816B3B417D0}">
  <sheetPr codeName="Sheet35"/>
  <dimension ref="A1:AL37"/>
  <sheetViews>
    <sheetView showGridLines="0" topLeftCell="B1" zoomScale="70" zoomScaleNormal="70" zoomScaleSheetLayoutView="70" workbookViewId="0">
      <selection activeCell="U15" sqref="U15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161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161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MUNEEB MUJAHID MUJAHID HUSSAIN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BUS DRIVER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26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5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17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43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MUNEEB MUJAHID MUJAHID HUSSAIN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46270.36757534722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46270.36757534722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46270.36757534722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94" priority="2" operator="equal">
      <formula>0</formula>
    </cfRule>
    <cfRule type="expression" dxfId="93" priority="3" stopIfTrue="1">
      <formula>OR(D10="Fri")</formula>
    </cfRule>
  </conditionalFormatting>
  <conditionalFormatting sqref="D24:AH24">
    <cfRule type="cellIs" dxfId="92" priority="4" operator="equal">
      <formula>0</formula>
    </cfRule>
    <cfRule type="expression" dxfId="91" priority="5" stopIfTrue="1">
      <formula>OR(D22="Fri")</formula>
    </cfRule>
  </conditionalFormatting>
  <conditionalFormatting sqref="W26:AG30">
    <cfRule type="containsText" dxfId="9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D5A16E46-60E4-460D-9B43-E26D5A763FB3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AC9BB-B9B2-483F-9EB0-3AA9BAEDFBC4}">
  <sheetPr codeName="Sheet36"/>
  <dimension ref="A1:AL37"/>
  <sheetViews>
    <sheetView showGridLines="0" topLeftCell="B3" zoomScale="70" zoomScaleNormal="70" zoomScaleSheetLayoutView="70" workbookViewId="0">
      <selection activeCell="V19" sqref="V19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162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162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MUHAMMAD TOQEER MUHAMMAD LATIF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BUS DRIVER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/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5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5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36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9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45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MUHAMMAD TOQEER MUHAMMAD LATIF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46270.36757534722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46270.36757534722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46270.36757534722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89" priority="2" operator="equal">
      <formula>0</formula>
    </cfRule>
    <cfRule type="expression" dxfId="88" priority="3" stopIfTrue="1">
      <formula>OR(D10="Fri")</formula>
    </cfRule>
  </conditionalFormatting>
  <conditionalFormatting sqref="D24:AH24">
    <cfRule type="cellIs" dxfId="87" priority="4" operator="equal">
      <formula>0</formula>
    </cfRule>
    <cfRule type="expression" dxfId="86" priority="5" stopIfTrue="1">
      <formula>OR(D22="Fri")</formula>
    </cfRule>
  </conditionalFormatting>
  <conditionalFormatting sqref="W26:AG30">
    <cfRule type="containsText" dxfId="8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CCA505C0-A8F0-4727-B716-ACB0CC35402B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CC9B-D8F1-4B5B-BAD3-B8A8A343FE9D}">
  <sheetPr codeName="Sheet37"/>
  <dimension ref="A1:AL37"/>
  <sheetViews>
    <sheetView showGridLines="0" topLeftCell="B1" zoomScale="70" zoomScaleNormal="70" zoomScaleSheetLayoutView="70" workbookViewId="0">
      <selection activeCell="Y18" sqref="Y18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168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168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MUHAMMAD TOFIQUE MUHAMMAD SIDDIQUE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BLOCK MASON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t="str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A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18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14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32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MUHAMMAD TOFIQUE MUHAMMAD SIDDIQUE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46270.36757800926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46270.36757800926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46270.36757800926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84" priority="2" operator="equal">
      <formula>0</formula>
    </cfRule>
    <cfRule type="expression" dxfId="83" priority="3" stopIfTrue="1">
      <formula>OR(D10="Fri")</formula>
    </cfRule>
  </conditionalFormatting>
  <conditionalFormatting sqref="D24:AH24">
    <cfRule type="cellIs" dxfId="82" priority="4" operator="equal">
      <formula>0</formula>
    </cfRule>
    <cfRule type="expression" dxfId="81" priority="5" stopIfTrue="1">
      <formula>OR(D22="Fri")</formula>
    </cfRule>
  </conditionalFormatting>
  <conditionalFormatting sqref="W26:AG30">
    <cfRule type="containsText" dxfId="8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CC20F8EB-11D1-4043-807C-0DB5E5FCE2C3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A518-8127-464B-8FED-D53999CC55F3}">
  <sheetPr codeName="Sheet38"/>
  <dimension ref="A1:AL37"/>
  <sheetViews>
    <sheetView showGridLines="0" topLeftCell="B1" zoomScale="70" zoomScaleNormal="70" zoomScaleSheetLayoutView="70" workbookViewId="0">
      <selection activeCell="U14" sqref="U14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170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170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SAQIB REHMAN DLPAZEER AHMED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PLUMBER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t="str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A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t="str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A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t="str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A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t="str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A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12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14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26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SAQIB REHMAN DLPAZEER AHMED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46270.36760046296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46270.367607175926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46270.367595254633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79" priority="2" operator="equal">
      <formula>0</formula>
    </cfRule>
    <cfRule type="expression" dxfId="78" priority="3" stopIfTrue="1">
      <formula>OR(D10="Fri")</formula>
    </cfRule>
  </conditionalFormatting>
  <conditionalFormatting sqref="D24:AH24">
    <cfRule type="cellIs" dxfId="77" priority="4" operator="equal">
      <formula>0</formula>
    </cfRule>
    <cfRule type="expression" dxfId="76" priority="5" stopIfTrue="1">
      <formula>OR(D22="Fri")</formula>
    </cfRule>
  </conditionalFormatting>
  <conditionalFormatting sqref="W26:AG30">
    <cfRule type="containsText" dxfId="7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A11BC147-7E86-472A-A6AB-E5B759E580AF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7195-2C03-4381-9684-9084054DB94A}">
  <sheetPr codeName="Sheet39"/>
  <dimension ref="A1:AL37"/>
  <sheetViews>
    <sheetView showGridLines="0" topLeftCell="B1" zoomScale="70" zoomScaleNormal="70" zoomScaleSheetLayoutView="70" workbookViewId="0">
      <selection activeCell="T17" sqref="T1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173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173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RABI AHMAD MUHAMMAD ASGHAR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PLUMBER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t="str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A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t="str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A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16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8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24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RABI AHMAD MUHAMMAD ASGHAR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46270.367607175926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46270.367595254633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46270.367600925929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74" priority="2" operator="equal">
      <formula>0</formula>
    </cfRule>
    <cfRule type="expression" dxfId="73" priority="3" stopIfTrue="1">
      <formula>OR(D10="Fri")</formula>
    </cfRule>
  </conditionalFormatting>
  <conditionalFormatting sqref="D24:AH24">
    <cfRule type="cellIs" dxfId="72" priority="4" operator="equal">
      <formula>0</formula>
    </cfRule>
    <cfRule type="expression" dxfId="71" priority="5" stopIfTrue="1">
      <formula>OR(D22="Fri")</formula>
    </cfRule>
  </conditionalFormatting>
  <conditionalFormatting sqref="W26:AG30">
    <cfRule type="containsText" dxfId="7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CC06455D-15A2-4D9E-93D8-C2FDCF2F5AE3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44DB-2025-4A65-8D3C-27191678256C}">
  <sheetPr codeName="Sheet40"/>
  <dimension ref="A1:AL37"/>
  <sheetViews>
    <sheetView showGridLines="0" topLeftCell="B1" zoomScale="70" zoomScaleNormal="70" zoomScaleSheetLayoutView="70" workbookViewId="0">
      <selection activeCell="V17" sqref="V1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174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174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JAHANZEB TANVEER TANVEER AHMED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ELECTRICIAN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4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4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0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0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0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0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0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20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0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0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0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0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0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20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JAHANZEB TANVEER TANVEER AHMED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46270.367607175926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46270.367595254633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46270.367600925929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69" priority="2" operator="equal">
      <formula>0</formula>
    </cfRule>
    <cfRule type="expression" dxfId="68" priority="3" stopIfTrue="1">
      <formula>OR(D10="Fri")</formula>
    </cfRule>
  </conditionalFormatting>
  <conditionalFormatting sqref="D24:AH24">
    <cfRule type="cellIs" dxfId="67" priority="4" operator="equal">
      <formula>0</formula>
    </cfRule>
    <cfRule type="expression" dxfId="66" priority="5" stopIfTrue="1">
      <formula>OR(D22="Fri")</formula>
    </cfRule>
  </conditionalFormatting>
  <conditionalFormatting sqref="W26:AG30">
    <cfRule type="containsText" dxfId="6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47D037E3-D372-4D34-BF17-B555A9FA1827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08B4-1319-415E-81E0-1BAA8D72F603}">
  <sheetPr codeName="Sheet41"/>
  <dimension ref="A1:AL37"/>
  <sheetViews>
    <sheetView showGridLines="0" topLeftCell="B1" zoomScale="70" zoomScaleNormal="70" zoomScaleSheetLayoutView="70" workbookViewId="0">
      <selection activeCell="R19" sqref="R19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175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175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SHAHID MEHMOOD MUHAMMAD ASHRAF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HEAVY EQUIP. MECHANIC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4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4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12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4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4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4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4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4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4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12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4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4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4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68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4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4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4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12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4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28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t="str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On Duty Full Time - Mechanic Generator Maintainance and Equipments Repair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96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SHAHID MEHMOOD MUHAMMAD ASHRAF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46270.367595254633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46270.367600925929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46270.367595023148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64" priority="2" operator="equal">
      <formula>0</formula>
    </cfRule>
    <cfRule type="expression" dxfId="63" priority="3" stopIfTrue="1">
      <formula>OR(D10="Fri")</formula>
    </cfRule>
  </conditionalFormatting>
  <conditionalFormatting sqref="D24:AH24">
    <cfRule type="cellIs" dxfId="62" priority="4" operator="equal">
      <formula>0</formula>
    </cfRule>
    <cfRule type="expression" dxfId="61" priority="5" stopIfTrue="1">
      <formula>OR(D22="Fri")</formula>
    </cfRule>
  </conditionalFormatting>
  <conditionalFormatting sqref="W26:AG30">
    <cfRule type="containsText" dxfId="6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429566FD-4235-40CD-A736-7725820D51A1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6E6A-5B67-4FF9-AB41-D20BF65B89C8}">
  <sheetPr codeName="Sheet42"/>
  <dimension ref="A1:AL37"/>
  <sheetViews>
    <sheetView showGridLines="0" topLeftCell="B3" zoomScale="70" zoomScaleNormal="70" zoomScaleSheetLayoutView="70" workbookViewId="0">
      <selection activeCell="T19" sqref="T19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182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182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SANDIP MAHTO MOHAR MAHTO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CARPENTER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3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27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15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42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SANDIP MAHTO MOHAR MAHTO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46270.36757800926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46270.36757800926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46270.367577893521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59" priority="2" operator="equal">
      <formula>0</formula>
    </cfRule>
    <cfRule type="expression" dxfId="58" priority="3" stopIfTrue="1">
      <formula>OR(D10="Fri")</formula>
    </cfRule>
  </conditionalFormatting>
  <conditionalFormatting sqref="D24:AH24">
    <cfRule type="cellIs" dxfId="57" priority="4" operator="equal">
      <formula>0</formula>
    </cfRule>
    <cfRule type="expression" dxfId="56" priority="5" stopIfTrue="1">
      <formula>OR(D22="Fri")</formula>
    </cfRule>
  </conditionalFormatting>
  <conditionalFormatting sqref="W26:AG30">
    <cfRule type="containsText" dxfId="5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BE137099-B1F6-4A5F-9EB5-C3F0221884A9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5D6B-6745-45CD-9821-7D68276CF8B4}">
  <sheetPr codeName="Sheet43"/>
  <dimension ref="A1:AL37"/>
  <sheetViews>
    <sheetView showGridLines="0" topLeftCell="B1" zoomScale="70" zoomScaleNormal="70" zoomScaleSheetLayoutView="70" workbookViewId="0">
      <selection activeCell="T19" sqref="T19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190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190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INTJAR  JULFUKAR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CARPENTER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t="str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A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20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8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28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INTJAR  JULFUKAR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46270.367595023148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46270.367595370371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46270.367607291664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54" priority="2" operator="equal">
      <formula>0</formula>
    </cfRule>
    <cfRule type="expression" dxfId="53" priority="3" stopIfTrue="1">
      <formula>OR(D10="Fri")</formula>
    </cfRule>
  </conditionalFormatting>
  <conditionalFormatting sqref="D24:AH24">
    <cfRule type="cellIs" dxfId="52" priority="4" operator="equal">
      <formula>0</formula>
    </cfRule>
    <cfRule type="expression" dxfId="51" priority="5" stopIfTrue="1">
      <formula>OR(D22="Fri")</formula>
    </cfRule>
  </conditionalFormatting>
  <conditionalFormatting sqref="W26:AG30">
    <cfRule type="containsText" dxfId="5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6985F420-834B-4867-9524-D3F5AF5B0425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5956-F152-4FF1-B658-D9A7E7207934}">
  <sheetPr codeName="Sheet44"/>
  <dimension ref="A1:AL37"/>
  <sheetViews>
    <sheetView showGridLines="0" topLeftCell="B1" zoomScale="70" zoomScaleNormal="70" zoomScaleSheetLayoutView="70" workbookViewId="0">
      <selection activeCell="W18" sqref="W18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192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192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JAY KUMAR - PURI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BUILDER MASON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20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14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34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JAY KUMAR - PURI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46270.36757800926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46270.367577893521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46270.367577662037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49" priority="2" operator="equal">
      <formula>0</formula>
    </cfRule>
    <cfRule type="expression" dxfId="48" priority="3" stopIfTrue="1">
      <formula>OR(D10="Fri")</formula>
    </cfRule>
  </conditionalFormatting>
  <conditionalFormatting sqref="D24:AH24">
    <cfRule type="cellIs" dxfId="47" priority="4" operator="equal">
      <formula>0</formula>
    </cfRule>
    <cfRule type="expression" dxfId="46" priority="5" stopIfTrue="1">
      <formula>OR(D22="Fri")</formula>
    </cfRule>
  </conditionalFormatting>
  <conditionalFormatting sqref="W26:AG30">
    <cfRule type="containsText" dxfId="4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1A12DB6D-5BED-479C-A0BD-34B84CC104F1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A4DE-95AD-4FC8-B6E8-0378F496AB0E}">
  <sheetPr codeName="Sheet45"/>
  <dimension ref="A1:AL37"/>
  <sheetViews>
    <sheetView showGridLines="0" topLeftCell="B3" zoomScale="70" zoomScaleNormal="70" zoomScaleSheetLayoutView="70" workbookViewId="0">
      <selection activeCell="U16" sqref="U16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193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193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AJAY KUMAR - JAYSAWAL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BUILDER MASON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t="str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A</v>
      </c>
      <c r="AD12" s="28" t="str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A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16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9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25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AJAY KUMAR - JAYSAWAL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46270.367577893521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46270.367577662037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46270.367582986109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44" priority="2" operator="equal">
      <formula>0</formula>
    </cfRule>
    <cfRule type="expression" dxfId="43" priority="3" stopIfTrue="1">
      <formula>OR(D10="Fri")</formula>
    </cfRule>
  </conditionalFormatting>
  <conditionalFormatting sqref="D24:AH24">
    <cfRule type="cellIs" dxfId="42" priority="4" operator="equal">
      <formula>0</formula>
    </cfRule>
    <cfRule type="expression" dxfId="41" priority="5" stopIfTrue="1">
      <formula>OR(D22="Fri")</formula>
    </cfRule>
  </conditionalFormatting>
  <conditionalFormatting sqref="W26:AG30">
    <cfRule type="containsText" dxfId="4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F51BE53C-268C-46C9-8DC7-B9B4D7AF10E5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8C85-148D-408B-81E6-3CABC38724BC}">
  <sheetPr codeName="Sheet46"/>
  <dimension ref="A1:AL37"/>
  <sheetViews>
    <sheetView showGridLines="0" topLeftCell="B3" zoomScale="70" zoomScaleNormal="70" zoomScaleSheetLayoutView="70" workbookViewId="0">
      <selection activeCell="T19" sqref="T19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194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194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MOHAMMAD FAREED MOHAMMAD WASEEM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BUILDER MASON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t="str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A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24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46113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46142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46143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46173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3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9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33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MOHAMMAD FAREED MOHAMMAD WASEEM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46270.367577662037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46270.367582986109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46270.367582986109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39" priority="2" operator="equal">
      <formula>0</formula>
    </cfRule>
    <cfRule type="expression" dxfId="38" priority="3" stopIfTrue="1">
      <formula>OR(D10="Fri")</formula>
    </cfRule>
  </conditionalFormatting>
  <conditionalFormatting sqref="D24:AH24">
    <cfRule type="cellIs" dxfId="37" priority="4" operator="equal">
      <formula>0</formula>
    </cfRule>
    <cfRule type="expression" dxfId="36" priority="5" stopIfTrue="1">
      <formula>OR(D22="Fri")</formula>
    </cfRule>
  </conditionalFormatting>
  <conditionalFormatting sqref="W26:AG30">
    <cfRule type="containsText" dxfId="3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D86A27ED-A3DD-4614-8C88-EFCBE38C7B36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F6F71-ABD8-4E11-9DA5-29B208E67362}">
  <sheetPr codeName="Sheet47"/>
  <dimension ref="A1:AL37"/>
  <sheetViews>
    <sheetView showGridLines="0" topLeftCell="B1" zoomScale="70" zoomScaleNormal="70" zoomScaleSheetLayoutView="70" workbookViewId="0">
      <selection activeCell="W12" sqref="W12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195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195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AVINASH KUMAR PACHU RAM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ELECTRICIAN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t="str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A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18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14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32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AVINASH KUMAR PACHU RAM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46270.367607291664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46270.367607175926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46270.36760046296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34" priority="2" operator="equal">
      <formula>0</formula>
    </cfRule>
    <cfRule type="expression" dxfId="33" priority="3" stopIfTrue="1">
      <formula>OR(D10="Fri")</formula>
    </cfRule>
  </conditionalFormatting>
  <conditionalFormatting sqref="D24:AH24">
    <cfRule type="cellIs" dxfId="32" priority="4" operator="equal">
      <formula>0</formula>
    </cfRule>
    <cfRule type="expression" dxfId="31" priority="5" stopIfTrue="1">
      <formula>OR(D22="Fri")</formula>
    </cfRule>
  </conditionalFormatting>
  <conditionalFormatting sqref="W26:AG30">
    <cfRule type="containsText" dxfId="3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CE0389E1-F016-4A82-B7B9-004DEF0CA622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75D40-E7DF-4265-8846-32F150EFCBCF}">
  <sheetPr codeName="Sheet48"/>
  <dimension ref="A1:AL37"/>
  <sheetViews>
    <sheetView showGridLines="0" topLeftCell="B1" zoomScale="70" zoomScaleNormal="70" zoomScaleSheetLayoutView="70" workbookViewId="0">
      <selection activeCell="R17" sqref="R17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210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210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MOHAMMAD RASHID MOHAMMAD SALIM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ELECTRICIAN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26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14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40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MOHAMMAD RASHID MOHAMMAD SALIM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46270.367607291664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46270.367607175926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46270.36760046296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29" priority="2" operator="equal">
      <formula>0</formula>
    </cfRule>
    <cfRule type="expression" dxfId="28" priority="3" stopIfTrue="1">
      <formula>OR(D10="Fri")</formula>
    </cfRule>
  </conditionalFormatting>
  <conditionalFormatting sqref="D24:AH24">
    <cfRule type="cellIs" dxfId="27" priority="4" operator="equal">
      <formula>0</formula>
    </cfRule>
    <cfRule type="expression" dxfId="26" priority="5" stopIfTrue="1">
      <formula>OR(D22="Fri")</formula>
    </cfRule>
  </conditionalFormatting>
  <conditionalFormatting sqref="W26:AG30">
    <cfRule type="containsText" dxfId="2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AA0D999A-379C-4AA7-9BF1-6AF53DCE0F80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D1D5-E3C8-47DF-93DD-B940D2FE0061}">
  <sheetPr codeName="Sheet49"/>
  <dimension ref="A1:AL37"/>
  <sheetViews>
    <sheetView showGridLines="0" topLeftCell="B1" zoomScale="70" zoomScaleNormal="70" zoomScaleSheetLayoutView="70" workbookViewId="0">
      <selection activeCell="U15" sqref="U15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216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216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MANOJ SHARMA RAMASHANKAR SHARMA 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CONSTRUCTION WORKER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4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4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4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4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4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4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4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4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6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4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4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4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56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4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4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4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4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22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t="str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Site Teaboy / Office Boy / Friday Offices Cleaning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78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 xml:space="preserve">MANOJ SHARMA RAMASHANKAR SHARMA 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46270.367607175926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46270.36760046296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46270.367607175926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24" priority="2" operator="equal">
      <formula>0</formula>
    </cfRule>
    <cfRule type="expression" dxfId="23" priority="3" stopIfTrue="1">
      <formula>OR(D10="Fri")</formula>
    </cfRule>
  </conditionalFormatting>
  <conditionalFormatting sqref="D24:AH24">
    <cfRule type="cellIs" dxfId="22" priority="4" operator="equal">
      <formula>0</formula>
    </cfRule>
    <cfRule type="expression" dxfId="21" priority="5" stopIfTrue="1">
      <formula>OR(D22="Fri")</formula>
    </cfRule>
  </conditionalFormatting>
  <conditionalFormatting sqref="W26:AG30">
    <cfRule type="containsText" dxfId="2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B85AA321-B4C7-42B0-BF4B-7F6B94D71396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86B6-EBCF-470C-AD94-A62D81056C1F}">
  <sheetPr codeName="Sheet50"/>
  <dimension ref="A1:AL37"/>
  <sheetViews>
    <sheetView showGridLines="0" topLeftCell="B1" zoomScale="70" zoomScaleNormal="70" zoomScaleSheetLayoutView="70" workbookViewId="0">
      <selection activeCell="V14" sqref="V14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230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230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 xml:space="preserve">ARIF HUSSAIN MD HADISH ANSARI 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ELECTRICIAN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t="str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A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24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14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38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 xml:space="preserve">ARIF HUSSAIN MD HADISH ANSARI 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46270.367607175926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46270.36760046296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46270.367607175926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9" priority="2" operator="equal">
      <formula>0</formula>
    </cfRule>
    <cfRule type="expression" dxfId="18" priority="3" stopIfTrue="1">
      <formula>OR(D10="Fri")</formula>
    </cfRule>
  </conditionalFormatting>
  <conditionalFormatting sqref="D24:AH24">
    <cfRule type="cellIs" dxfId="17" priority="4" operator="equal">
      <formula>0</formula>
    </cfRule>
    <cfRule type="expression" dxfId="16" priority="5" stopIfTrue="1">
      <formula>OR(D22="Fri")</formula>
    </cfRule>
  </conditionalFormatting>
  <conditionalFormatting sqref="W26:AG30">
    <cfRule type="containsText" dxfId="1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EEF0A962-490F-47BB-8289-C4D6D36947BD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A99C9-2BCE-499F-AFD2-8F0E6D51AEEB}">
  <sheetPr codeName="Sheet51"/>
  <dimension ref="A1:AL37"/>
  <sheetViews>
    <sheetView showGridLines="0" topLeftCell="B1" zoomScale="70" zoomScaleNormal="70" zoomScaleSheetLayoutView="70" workbookViewId="0">
      <selection activeCell="T19" sqref="T19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238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238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NAGENDRA KUMAR-PASWAN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CARPENTER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26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14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40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NAGENDRA KUMAR-PASWAN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46270.367607175926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46270.367595254633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46270.367600925929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14" priority="2" operator="equal">
      <formula>0</formula>
    </cfRule>
    <cfRule type="expression" dxfId="13" priority="3" stopIfTrue="1">
      <formula>OR(D10="Fri")</formula>
    </cfRule>
  </conditionalFormatting>
  <conditionalFormatting sqref="D24:AH24">
    <cfRule type="cellIs" dxfId="12" priority="4" operator="equal">
      <formula>0</formula>
    </cfRule>
    <cfRule type="expression" dxfId="11" priority="5" stopIfTrue="1">
      <formula>OR(D22="Fri")</formula>
    </cfRule>
  </conditionalFormatting>
  <conditionalFormatting sqref="W26:AG30">
    <cfRule type="containsText" dxfId="1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A139E4DF-4DAB-4893-9837-E60CD3B6346A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CD04-421A-46F0-B7FC-0A4218D36D8D}">
  <sheetPr codeName="Sheet52"/>
  <dimension ref="A1:AL37"/>
  <sheetViews>
    <sheetView showGridLines="0" topLeftCell="B1" zoomScale="70" zoomScaleNormal="70" zoomScaleSheetLayoutView="70" workbookViewId="0">
      <selection activeCell="V20" sqref="V20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241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241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MD NAWAZISH MD KAZIM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ELECTRICIAN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6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0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26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6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14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40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MD NAWAZISH MD KAZIM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46270.367600925929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46270.367595023148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46270.367595370371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9" priority="2" operator="equal">
      <formula>0</formula>
    </cfRule>
    <cfRule type="expression" dxfId="8" priority="3" stopIfTrue="1">
      <formula>OR(D10="Fri")</formula>
    </cfRule>
  </conditionalFormatting>
  <conditionalFormatting sqref="D24:AH24">
    <cfRule type="cellIs" dxfId="7" priority="4" operator="equal">
      <formula>0</formula>
    </cfRule>
    <cfRule type="expression" dxfId="6" priority="5" stopIfTrue="1">
      <formula>OR(D22="Fri")</formula>
    </cfRule>
  </conditionalFormatting>
  <conditionalFormatting sqref="W26:AG30">
    <cfRule type="containsText" dxfId="5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78BDFCB0-E66E-43E6-93B2-96412A9DB9F4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F4F4-7C6E-450D-A494-5B135A914616}">
  <sheetPr codeName="Sheet53"/>
  <dimension ref="A1:AL37"/>
  <sheetViews>
    <sheetView showGridLines="0" topLeftCell="B7" zoomScale="70" zoomScaleNormal="70" zoomScaleSheetLayoutView="70" workbookViewId="0">
      <selection activeCell="T15" sqref="T15"/>
    </sheetView>
  </sheetViews>
  <sheetFormatPr defaultRowHeight="14.4"/>
  <cols>
    <col min="1" max="1" width="3.6640625" hidden="1" customWidth="1"/>
    <col min="2" max="2" width="3.5546875" customWidth="1"/>
    <col min="3" max="3" width="19.6640625" customWidth="1"/>
    <col min="4" max="34" width="6.33203125" customWidth="1"/>
    <col min="35" max="35" width="3.5546875" customWidth="1"/>
    <col min="36" max="36" width="15.44140625" hidden="1" customWidth="1"/>
    <col min="37" max="37" width="10.6640625" hidden="1" customWidth="1"/>
    <col min="38" max="38" width="9.33203125" style="9" customWidth="1"/>
  </cols>
  <sheetData>
    <row r="1" spans="1:38">
      <c r="A1" t="str">
        <f t="array" aca="1" ref="A1" ca="1">MID(CELL("filename",A1),FIND("]",CELL("filename",A1))+1,255)</f>
        <v>2407930680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8" ht="20.25" customHeight="1">
      <c r="B2" s="10"/>
      <c r="C2" s="180" t="s">
        <v>21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1"/>
    </row>
    <row r="3" spans="1:38" ht="41.25" customHeight="1" thickBot="1">
      <c r="B3" s="10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 t="s">
        <v>22</v>
      </c>
      <c r="AA3" s="13"/>
      <c r="AB3" s="13"/>
      <c r="AC3" s="13"/>
      <c r="AD3" s="13"/>
      <c r="AE3" s="13"/>
      <c r="AF3" s="13"/>
      <c r="AG3" s="13"/>
      <c r="AH3" s="13"/>
      <c r="AI3" s="11"/>
    </row>
    <row r="4" spans="1:38" ht="14.25" customHeight="1" thickBot="1">
      <c r="B4" s="10"/>
      <c r="C4" s="182" t="s">
        <v>23</v>
      </c>
      <c r="D4" s="183" t="str">
        <f ca="1">A1</f>
        <v>2407930680</v>
      </c>
      <c r="E4" s="184"/>
      <c r="F4" s="184"/>
      <c r="G4" s="184"/>
      <c r="H4" s="185"/>
      <c r="I4" s="182" t="s">
        <v>24</v>
      </c>
      <c r="J4" s="181"/>
      <c r="K4" s="181"/>
      <c r="L4" s="181"/>
      <c r="M4" s="189" t="str">
        <f t="array" aca="1" ref="M4" ca="1">_xlfn.LET(
  _xlpm.val, LOWER(TRIM(D4)),
  _xlfn.IFNA(
    _xlfn.XLOOKUP(_xlpm.val, LOWER(TRIM('EH Staff'!B:B)), 'EH Staff'!C:C, , 0, -1),
    _xlfn.XLOOKUP("*"&amp;_xlpm.val&amp;"*", LOWER(TRIM('EH Staff'!B:B)), 'EH Staff'!C:C, "", 2, -1)
  )
)</f>
        <v>LAMBERT CAINGAT MOLINA</v>
      </c>
      <c r="N4" s="184"/>
      <c r="O4" s="184"/>
      <c r="P4" s="184"/>
      <c r="Q4" s="184"/>
      <c r="R4" s="184"/>
      <c r="S4" s="184"/>
      <c r="T4" s="184"/>
      <c r="U4" s="184"/>
      <c r="V4" s="185"/>
      <c r="W4" s="58"/>
      <c r="X4" s="190" t="str">
        <f t="array" aca="1" ref="X4" ca="1">_xlfn.LET(
  _xlpm.val, LOWER(TRIM(D4)),
  _xlfn.IFNA(
    _xlfn.XLOOKUP(_xlpm.val, LOWER(TRIM('EH Staff'!B:B)), 'EH Staff'!D:D, , 0, -1),
    _xlfn.XLOOKUP("*"&amp;_xlpm.val&amp;"*", LOWER(TRIM('EH Staff'!B:B)), 'EH Staff'!D:D, "", 2, -1)
  )
)</f>
        <v>ELEC. FOREMAN</v>
      </c>
      <c r="Y4" s="184"/>
      <c r="Z4" s="184"/>
      <c r="AA4" s="184"/>
      <c r="AB4" s="184"/>
      <c r="AC4" s="184"/>
      <c r="AD4" s="184"/>
      <c r="AE4" s="185"/>
      <c r="AF4" s="13"/>
      <c r="AG4" s="13"/>
      <c r="AH4" s="14"/>
      <c r="AI4" s="11"/>
    </row>
    <row r="5" spans="1:38" ht="15" customHeight="1" thickBot="1">
      <c r="B5" s="10"/>
      <c r="C5" s="181"/>
      <c r="D5" s="186"/>
      <c r="E5" s="187"/>
      <c r="F5" s="187"/>
      <c r="G5" s="187"/>
      <c r="H5" s="188"/>
      <c r="I5" s="181"/>
      <c r="J5" s="181"/>
      <c r="K5" s="181"/>
      <c r="L5" s="181"/>
      <c r="M5" s="186"/>
      <c r="N5" s="187"/>
      <c r="O5" s="187"/>
      <c r="P5" s="187"/>
      <c r="Q5" s="187"/>
      <c r="R5" s="187"/>
      <c r="S5" s="187"/>
      <c r="T5" s="187"/>
      <c r="U5" s="187"/>
      <c r="V5" s="188"/>
      <c r="W5" s="58"/>
      <c r="X5" s="186"/>
      <c r="Y5" s="187"/>
      <c r="Z5" s="187"/>
      <c r="AA5" s="187"/>
      <c r="AB5" s="187"/>
      <c r="AC5" s="187"/>
      <c r="AD5" s="187"/>
      <c r="AE5" s="188"/>
      <c r="AF5" s="13"/>
      <c r="AG5" s="13"/>
      <c r="AH5" s="15"/>
      <c r="AI5" s="11"/>
      <c r="AJ5" s="16"/>
    </row>
    <row r="6" spans="1:38" ht="16.5" customHeight="1" thickBot="1">
      <c r="B6" s="10"/>
      <c r="AF6" s="13"/>
      <c r="AG6" s="13"/>
      <c r="AH6" s="17"/>
      <c r="AI6" s="11"/>
    </row>
    <row r="7" spans="1:38" ht="18" customHeight="1" thickBot="1">
      <c r="B7" s="10"/>
      <c r="C7" s="191" t="s">
        <v>25</v>
      </c>
      <c r="D7" s="192" t="str">
        <f>'MONTH SETTING'!G2</f>
        <v>AUGUST</v>
      </c>
      <c r="E7" s="193"/>
      <c r="F7" s="193"/>
      <c r="G7" s="193"/>
      <c r="H7" s="194"/>
      <c r="I7" s="198"/>
      <c r="J7" s="181"/>
      <c r="K7" s="181"/>
      <c r="AG7" s="17"/>
      <c r="AH7" s="17"/>
      <c r="AI7" s="11"/>
    </row>
    <row r="8" spans="1:38" ht="18.75" customHeight="1" thickBot="1">
      <c r="B8" s="10"/>
      <c r="C8" s="181"/>
      <c r="D8" s="195"/>
      <c r="E8" s="196"/>
      <c r="F8" s="196"/>
      <c r="G8" s="196"/>
      <c r="H8" s="197"/>
      <c r="I8" s="199"/>
      <c r="J8" s="181"/>
      <c r="K8" s="181"/>
      <c r="AG8" s="17"/>
      <c r="AH8" s="17"/>
      <c r="AI8" s="11"/>
    </row>
    <row r="9" spans="1:38" ht="15.75" customHeight="1" thickBot="1">
      <c r="B9" s="10"/>
      <c r="C9" s="18"/>
      <c r="D9" s="17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I9" s="11"/>
      <c r="AJ9" s="21"/>
      <c r="AK9" s="21"/>
      <c r="AL9" s="22"/>
    </row>
    <row r="10" spans="1:38">
      <c r="B10" s="10"/>
      <c r="C10" s="200" t="s">
        <v>26</v>
      </c>
      <c r="D10" s="23" t="str">
        <f>TEXT('EH Staff'!F2,"DDD")</f>
        <v>Sat</v>
      </c>
      <c r="E10" s="23" t="str">
        <f>TEXT('EH Staff'!G2,"DDD")</f>
        <v>Sun</v>
      </c>
      <c r="F10" s="23" t="str">
        <f>TEXT('EH Staff'!H2,"DDD")</f>
        <v>Mon</v>
      </c>
      <c r="G10" s="23" t="str">
        <f>TEXT('EH Staff'!I2,"DDD")</f>
        <v>Tue</v>
      </c>
      <c r="H10" s="23" t="str">
        <f>TEXT('EH Staff'!J2,"DDD")</f>
        <v>Wed</v>
      </c>
      <c r="I10" s="23" t="str">
        <f>TEXT('EH Staff'!K2,"DDD")</f>
        <v>Thu</v>
      </c>
      <c r="J10" s="23" t="str">
        <f>TEXT('EH Staff'!L2,"DDD")</f>
        <v>Fri</v>
      </c>
      <c r="K10" s="23" t="str">
        <f>TEXT('EH Staff'!M2,"DDD")</f>
        <v>Sat</v>
      </c>
      <c r="L10" s="23" t="str">
        <f>TEXT('EH Staff'!N2,"DDD")</f>
        <v>Sun</v>
      </c>
      <c r="M10" s="23" t="str">
        <f>TEXT('EH Staff'!O2,"DDD")</f>
        <v>Mon</v>
      </c>
      <c r="N10" s="23" t="str">
        <f>TEXT('EH Staff'!P2,"DDD")</f>
        <v>Tue</v>
      </c>
      <c r="O10" s="23" t="str">
        <f>TEXT('EH Staff'!Q2,"DDD")</f>
        <v>Wed</v>
      </c>
      <c r="P10" s="23" t="str">
        <f>TEXT('EH Staff'!R2,"DDD")</f>
        <v>Thu</v>
      </c>
      <c r="Q10" s="23" t="str">
        <f>TEXT('EH Staff'!S2,"DDD")</f>
        <v>Fri</v>
      </c>
      <c r="R10" s="23" t="str">
        <f>TEXT('EH Staff'!T2,"DDD")</f>
        <v>Sat</v>
      </c>
      <c r="S10" s="23" t="str">
        <f>TEXT('EH Staff'!U2,"DDD")</f>
        <v>Sun</v>
      </c>
      <c r="T10" s="23" t="str">
        <f>TEXT('EH Staff'!V2,"DDD")</f>
        <v>Mon</v>
      </c>
      <c r="U10" s="23" t="str">
        <f>TEXT('EH Staff'!W2,"DDD")</f>
        <v>Tue</v>
      </c>
      <c r="V10" s="23" t="str">
        <f>TEXT('EH Staff'!X2,"DDD")</f>
        <v>Wed</v>
      </c>
      <c r="W10" s="23" t="str">
        <f>TEXT('EH Staff'!Y2,"DDD")</f>
        <v>Thu</v>
      </c>
      <c r="X10" s="23" t="str">
        <f>TEXT('EH Staff'!Z2,"DDD")</f>
        <v>Fri</v>
      </c>
      <c r="Y10" s="23" t="str">
        <f>TEXT('EH Staff'!AA2,"DDD")</f>
        <v>Sat</v>
      </c>
      <c r="Z10" s="23" t="str">
        <f>TEXT('EH Staff'!AB2,"DDD")</f>
        <v>Sun</v>
      </c>
      <c r="AA10" s="23" t="str">
        <f>TEXT('EH Staff'!AC2,"DDD")</f>
        <v>Mon</v>
      </c>
      <c r="AB10" s="23" t="str">
        <f>TEXT('EH Staff'!AD2,"DDD")</f>
        <v>Tue</v>
      </c>
      <c r="AC10" s="23" t="str">
        <f>TEXT('EH Staff'!AE2,"DDD")</f>
        <v>Wed</v>
      </c>
      <c r="AD10" s="23" t="str">
        <f>TEXT('EH Staff'!AF2,"DDD")</f>
        <v>Thu</v>
      </c>
      <c r="AE10" s="23" t="str">
        <f>TEXT('EH Staff'!AG2,"DDD")</f>
        <v>Fri</v>
      </c>
      <c r="AF10" s="23" t="str">
        <f>TEXT('EH Staff'!AH2,"DDD")</f>
        <v>Sat</v>
      </c>
      <c r="AG10" s="23" t="str">
        <f>TEXT('EH Staff'!AI2,"DDD")</f>
        <v>Sun</v>
      </c>
      <c r="AH10" s="24" t="str">
        <f>TEXT(AH11,"DDD")</f>
        <v>Mon</v>
      </c>
      <c r="AI10" s="25"/>
    </row>
    <row r="11" spans="1:38" ht="35.1" customHeight="1">
      <c r="B11" s="10"/>
      <c r="C11" s="201"/>
      <c r="D11" s="26">
        <f>'MONTH SETTING'!$G$3</f>
        <v>46235</v>
      </c>
      <c r="E11" s="26">
        <f>IF(D11&lt;'MONTH SETTING'!$G$4,D11+1,"")</f>
        <v>46236</v>
      </c>
      <c r="F11" s="26">
        <f>IF(E11&lt;'MONTH SETTING'!$G$4,E11+1,"")</f>
        <v>46237</v>
      </c>
      <c r="G11" s="26">
        <f>IF(F11&lt;'MONTH SETTING'!$G$4,F11+1,"")</f>
        <v>46238</v>
      </c>
      <c r="H11" s="26">
        <f>IF(G11&lt;'MONTH SETTING'!$G$4,G11+1,"")</f>
        <v>46239</v>
      </c>
      <c r="I11" s="26">
        <f>IF(H11&lt;'MONTH SETTING'!$G$4,H11+1,"")</f>
        <v>46240</v>
      </c>
      <c r="J11" s="26">
        <f>IF(I11&lt;'MONTH SETTING'!$G$4,I11+1,"")</f>
        <v>46241</v>
      </c>
      <c r="K11" s="26">
        <f>IF(J11&lt;'MONTH SETTING'!$G$4,J11+1,"")</f>
        <v>46242</v>
      </c>
      <c r="L11" s="26">
        <f>IF(K11&lt;'MONTH SETTING'!$G$4,K11+1,"")</f>
        <v>46243</v>
      </c>
      <c r="M11" s="26">
        <f>IF(L11&lt;'MONTH SETTING'!$G$4,L11+1,"")</f>
        <v>46244</v>
      </c>
      <c r="N11" s="26">
        <f>IF(M11&lt;'MONTH SETTING'!$G$4,M11+1,"")</f>
        <v>46245</v>
      </c>
      <c r="O11" s="26">
        <f>IF(N11&lt;'MONTH SETTING'!$G$4,N11+1,"")</f>
        <v>46246</v>
      </c>
      <c r="P11" s="26">
        <f>IF(O11&lt;'MONTH SETTING'!$G$4,O11+1,"")</f>
        <v>46247</v>
      </c>
      <c r="Q11" s="26">
        <f>IF(P11&lt;'MONTH SETTING'!$G$4,P11+1,"")</f>
        <v>46248</v>
      </c>
      <c r="R11" s="26">
        <f>IF(Q11&lt;'MONTH SETTING'!$G$4,Q11+1,"")</f>
        <v>46249</v>
      </c>
      <c r="S11" s="26">
        <f>IF(R11&lt;'MONTH SETTING'!$G$4,R11+1,"")</f>
        <v>46250</v>
      </c>
      <c r="T11" s="26">
        <f>IF(S11&lt;'MONTH SETTING'!$G$4,S11+1,"")</f>
        <v>46251</v>
      </c>
      <c r="U11" s="26">
        <f>IF(T11&lt;'MONTH SETTING'!$G$4,T11+1,"")</f>
        <v>46252</v>
      </c>
      <c r="V11" s="26">
        <f>IF(U11&lt;'MONTH SETTING'!$G$4,U11+1,"")</f>
        <v>46253</v>
      </c>
      <c r="W11" s="26">
        <f>IF(V11&lt;'MONTH SETTING'!$G$4,V11+1,"")</f>
        <v>46254</v>
      </c>
      <c r="X11" s="26">
        <f>IF(W11&lt;'MONTH SETTING'!$G$4,W11+1,"")</f>
        <v>46255</v>
      </c>
      <c r="Y11" s="26">
        <f>IF(X11&lt;'MONTH SETTING'!$G$4,X11+1,"")</f>
        <v>46256</v>
      </c>
      <c r="Z11" s="26">
        <f>IF(Y11&lt;'MONTH SETTING'!$G$4,Y11+1,"")</f>
        <v>46257</v>
      </c>
      <c r="AA11" s="26">
        <f>IF(Z11&lt;'MONTH SETTING'!$G$4,Z11+1,"")</f>
        <v>46258</v>
      </c>
      <c r="AB11" s="26">
        <f>IF(AA11&lt;'MONTH SETTING'!$G$4,AA11+1,"")</f>
        <v>46259</v>
      </c>
      <c r="AC11" s="26">
        <f>IF(AB11&lt;'MONTH SETTING'!$G$4,AB11+1,"")</f>
        <v>46260</v>
      </c>
      <c r="AD11" s="26">
        <f>IF(AC11&lt;'MONTH SETTING'!$G$4,AC11+1,"")</f>
        <v>46261</v>
      </c>
      <c r="AE11" s="26">
        <f>IF(AD11&lt;'MONTH SETTING'!$G$4,AD11+1,"")</f>
        <v>46262</v>
      </c>
      <c r="AF11" s="26">
        <f>IF(AE11&lt;'MONTH SETTING'!$G$4,AE11+1,"")</f>
        <v>46263</v>
      </c>
      <c r="AG11" s="26">
        <f>IF(AF11&lt;'MONTH SETTING'!$G$4,AF11+1,"")</f>
        <v>46264</v>
      </c>
      <c r="AH11" s="26">
        <f>IF(AG11&lt;'MONTH SETTING'!$G$4,AG11+1,"")</f>
        <v>46265</v>
      </c>
      <c r="AI11" s="25"/>
    </row>
    <row r="12" spans="1:38" ht="35.1" customHeight="1" thickBot="1">
      <c r="B12" s="10"/>
      <c r="C12" s="27" t="s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 cm="1">
        <f t="array" aca="1" ref="V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COLUMNS($W4:W4))
)</f>
        <v>2</v>
      </c>
      <c r="W12" s="28" cm="1">
        <f t="array" aca="1" ref="W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COLUMNS($W4:X4))
)</f>
        <v>2</v>
      </c>
      <c r="X12" s="28" cm="1">
        <f t="array" aca="1" ref="X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COLUMNS($W4:Y4))
)</f>
        <v>0</v>
      </c>
      <c r="Y12" s="28" cm="1">
        <f t="array" aca="1" ref="Y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COLUMNS($W4:Z4))
)</f>
        <v>2</v>
      </c>
      <c r="Z12" s="28" cm="1">
        <f t="array" aca="1" ref="Z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COLUMNS($W4:AA4))
)</f>
        <v>2</v>
      </c>
      <c r="AA12" s="28" cm="1">
        <f t="array" aca="1" ref="AA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COLUMNS($W4:AB4))
)</f>
        <v>2</v>
      </c>
      <c r="AB12" s="28" cm="1">
        <f t="array" aca="1" ref="AB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COLUMNS($W4:AC4))
)</f>
        <v>2</v>
      </c>
      <c r="AC12" s="28" cm="1">
        <f t="array" aca="1" ref="AC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COLUMNS($W4:AD4))
)</f>
        <v>2</v>
      </c>
      <c r="AD12" s="28" cm="1">
        <f t="array" aca="1" ref="AD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COLUMNS($W4:AE4))
)</f>
        <v>2</v>
      </c>
      <c r="AE12" s="28" cm="1">
        <f t="array" aca="1" ref="AE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COLUMNS($W4:AF4))
)</f>
        <v>0</v>
      </c>
      <c r="AF12" s="28" cm="1">
        <f t="array" aca="1" ref="AF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COLUMNS($W4:AG4))
)</f>
        <v>2</v>
      </c>
      <c r="AG12" s="28" cm="1">
        <f t="array" aca="1" ref="AG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COLUMNS($W4:AH4))
)</f>
        <v>2</v>
      </c>
      <c r="AH12" s="28" cm="1">
        <f t="array" aca="1" ref="AH12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23,
  INDEX(_xlpm.rowData, 1, _xlpm.startCol - 1 + COLUMNS($W4:AI4))
)</f>
        <v>2</v>
      </c>
      <c r="AI12" s="25"/>
    </row>
    <row r="13" spans="1:38" ht="15.75" customHeight="1" thickBot="1">
      <c r="B13" s="10"/>
      <c r="AI13" s="25"/>
    </row>
    <row r="14" spans="1:38" ht="44.1" customHeight="1" thickBot="1">
      <c r="B14" s="10"/>
      <c r="C14" s="30"/>
      <c r="D14" s="202" t="s">
        <v>28</v>
      </c>
      <c r="E14" s="203"/>
      <c r="F14" s="203"/>
      <c r="G14" s="204">
        <f ca="1">SUM(D12:AH12)</f>
        <v>22</v>
      </c>
      <c r="H14" s="205"/>
      <c r="I14" s="31"/>
      <c r="J14" s="31"/>
      <c r="K14" s="31"/>
      <c r="L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I14" s="11"/>
    </row>
    <row r="15" spans="1:38" s="9" customFormat="1">
      <c r="B15" s="10"/>
      <c r="C15" s="33"/>
      <c r="D15" s="34"/>
      <c r="E15" s="33"/>
      <c r="F15" s="33"/>
      <c r="G15" s="33"/>
      <c r="H15" s="206"/>
      <c r="I15" s="207"/>
      <c r="J15" s="207"/>
      <c r="K15" s="207"/>
      <c r="L15" s="33"/>
      <c r="M15" s="208"/>
      <c r="N15" s="207"/>
      <c r="O15" s="207"/>
      <c r="P15" s="207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7"/>
      <c r="AJ15" s="2" t="s">
        <v>29</v>
      </c>
      <c r="AK15" s="3" t="s">
        <v>30</v>
      </c>
    </row>
    <row r="16" spans="1:38" s="9" customFormat="1">
      <c r="B16" s="10"/>
      <c r="C16" s="33"/>
      <c r="D16" s="34"/>
      <c r="E16" s="33"/>
      <c r="F16" s="33"/>
      <c r="G16" s="33"/>
      <c r="H16" s="35"/>
      <c r="I16" s="35"/>
      <c r="J16" s="35"/>
      <c r="K16" s="35"/>
      <c r="L16" s="33"/>
      <c r="M16" s="36"/>
      <c r="N16" s="36"/>
      <c r="O16" s="36"/>
      <c r="P16" s="3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7"/>
      <c r="AJ16" t="s">
        <v>31</v>
      </c>
      <c r="AK16" s="4">
        <f>DATEVALUE("1"&amp;AK15)</f>
        <v>45748</v>
      </c>
    </row>
    <row r="17" spans="2:37" s="9" customFormat="1">
      <c r="B17" s="10"/>
      <c r="C17" s="33"/>
      <c r="D17" s="34"/>
      <c r="E17" s="33"/>
      <c r="F17" s="33"/>
      <c r="G17" s="33"/>
      <c r="H17" s="35"/>
      <c r="I17" s="35"/>
      <c r="J17" s="35"/>
      <c r="K17" s="35"/>
      <c r="L17" s="33"/>
      <c r="M17" s="36"/>
      <c r="N17" s="36"/>
      <c r="O17" s="36"/>
      <c r="P17" s="3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7"/>
      <c r="AJ17" t="s">
        <v>32</v>
      </c>
      <c r="AK17" s="4">
        <f>EOMONTH(AK16,0)</f>
        <v>45777</v>
      </c>
    </row>
    <row r="18" spans="2:37" s="9" customFormat="1" ht="15.75" customHeight="1" thickBot="1">
      <c r="B18" s="10"/>
      <c r="C18" s="33"/>
      <c r="D18" s="33"/>
      <c r="E18" s="33"/>
      <c r="F18" s="33"/>
      <c r="G18" s="33"/>
      <c r="H18" s="209"/>
      <c r="I18" s="207"/>
      <c r="J18" s="207"/>
      <c r="K18" s="207"/>
      <c r="L18" s="33"/>
      <c r="M18" s="36"/>
      <c r="N18" s="36"/>
      <c r="O18" s="36"/>
      <c r="P18" s="3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7"/>
      <c r="AK18" s="5"/>
    </row>
    <row r="19" spans="2:37" s="9" customFormat="1" ht="15" thickBot="1">
      <c r="B19" s="10"/>
      <c r="C19" s="191" t="s">
        <v>25</v>
      </c>
      <c r="D19" s="192" t="str">
        <f>'MONTH SETTING'!G6</f>
        <v>SEPTEMBER</v>
      </c>
      <c r="E19" s="193"/>
      <c r="F19" s="193"/>
      <c r="G19" s="193"/>
      <c r="H19" s="194"/>
      <c r="I19" s="198"/>
      <c r="J19" s="207"/>
      <c r="K19" s="207"/>
      <c r="AI19" s="11"/>
      <c r="AJ19" s="2" t="s">
        <v>29</v>
      </c>
      <c r="AK19" s="3" t="s">
        <v>33</v>
      </c>
    </row>
    <row r="20" spans="2:37" s="9" customFormat="1" ht="15.75" customHeight="1" thickBot="1">
      <c r="B20" s="10"/>
      <c r="C20" s="207"/>
      <c r="D20" s="195"/>
      <c r="E20" s="196"/>
      <c r="F20" s="196"/>
      <c r="G20" s="196"/>
      <c r="H20" s="197"/>
      <c r="I20" s="199"/>
      <c r="J20" s="207"/>
      <c r="K20" s="207"/>
      <c r="AI20" s="11"/>
      <c r="AJ20" t="s">
        <v>31</v>
      </c>
      <c r="AK20" s="4">
        <f>DATEVALUE("1"&amp;AK19)</f>
        <v>45778</v>
      </c>
    </row>
    <row r="21" spans="2:37" s="9" customFormat="1" ht="15.75" customHeight="1" thickBot="1">
      <c r="B21" s="10"/>
      <c r="AI21" s="11"/>
      <c r="AJ21" t="s">
        <v>32</v>
      </c>
      <c r="AK21" s="4">
        <f>EOMONTH(AK20,0)</f>
        <v>45808</v>
      </c>
    </row>
    <row r="22" spans="2:37" s="9" customFormat="1" ht="15.75" customHeight="1" thickBot="1">
      <c r="B22" s="10"/>
      <c r="C22" s="200" t="s">
        <v>26</v>
      </c>
      <c r="D22" s="39" t="str">
        <f>TEXT('EH Staff'!AL2,"DDD")</f>
        <v>Tue</v>
      </c>
      <c r="E22" s="39" t="str">
        <f t="shared" ref="E22:AH22" si="0">TEXT(E23,"DDD")</f>
        <v>Wed</v>
      </c>
      <c r="F22" s="39" t="str">
        <f t="shared" si="0"/>
        <v>Thu</v>
      </c>
      <c r="G22" s="39" t="str">
        <f t="shared" si="0"/>
        <v>Fri</v>
      </c>
      <c r="H22" s="39" t="str">
        <f t="shared" si="0"/>
        <v>Sat</v>
      </c>
      <c r="I22" s="39" t="str">
        <f t="shared" si="0"/>
        <v>Sun</v>
      </c>
      <c r="J22" s="39" t="str">
        <f t="shared" si="0"/>
        <v>Mon</v>
      </c>
      <c r="K22" s="39" t="str">
        <f t="shared" si="0"/>
        <v>Tue</v>
      </c>
      <c r="L22" s="39" t="str">
        <f t="shared" si="0"/>
        <v>Wed</v>
      </c>
      <c r="M22" s="39" t="str">
        <f t="shared" si="0"/>
        <v>Thu</v>
      </c>
      <c r="N22" s="39" t="str">
        <f t="shared" si="0"/>
        <v>Fri</v>
      </c>
      <c r="O22" s="39" t="str">
        <f t="shared" si="0"/>
        <v>Sat</v>
      </c>
      <c r="P22" s="39" t="str">
        <f t="shared" si="0"/>
        <v>Sun</v>
      </c>
      <c r="Q22" s="39" t="str">
        <f t="shared" si="0"/>
        <v>Mon</v>
      </c>
      <c r="R22" s="39" t="str">
        <f t="shared" si="0"/>
        <v>Tue</v>
      </c>
      <c r="S22" s="39" t="str">
        <f t="shared" si="0"/>
        <v>Wed</v>
      </c>
      <c r="T22" s="39" t="str">
        <f t="shared" si="0"/>
        <v>Thu</v>
      </c>
      <c r="U22" s="39" t="str">
        <f t="shared" si="0"/>
        <v>Fri</v>
      </c>
      <c r="V22" s="39" t="str">
        <f t="shared" si="0"/>
        <v>Sat</v>
      </c>
      <c r="W22" s="39" t="str">
        <f t="shared" si="0"/>
        <v>Sun</v>
      </c>
      <c r="X22" s="39" t="str">
        <f t="shared" si="0"/>
        <v>Mon</v>
      </c>
      <c r="Y22" s="39" t="str">
        <f t="shared" si="0"/>
        <v>Tue</v>
      </c>
      <c r="Z22" s="39" t="str">
        <f t="shared" si="0"/>
        <v>Wed</v>
      </c>
      <c r="AA22" s="39" t="str">
        <f t="shared" si="0"/>
        <v>Thu</v>
      </c>
      <c r="AB22" s="39" t="str">
        <f t="shared" si="0"/>
        <v>Fri</v>
      </c>
      <c r="AC22" s="39" t="str">
        <f t="shared" si="0"/>
        <v>Sat</v>
      </c>
      <c r="AD22" s="39" t="str">
        <f t="shared" si="0"/>
        <v>Sun</v>
      </c>
      <c r="AE22" s="39" t="str">
        <f t="shared" si="0"/>
        <v>Mon</v>
      </c>
      <c r="AF22" s="39" t="str">
        <f t="shared" si="0"/>
        <v>Tue</v>
      </c>
      <c r="AG22" s="39" t="str">
        <f t="shared" si="0"/>
        <v>Wed</v>
      </c>
      <c r="AH22" s="40" t="str">
        <f t="shared" si="0"/>
        <v/>
      </c>
      <c r="AI22" s="25"/>
    </row>
    <row r="23" spans="2:37" s="9" customFormat="1" ht="35.1" customHeight="1">
      <c r="B23" s="10"/>
      <c r="C23" s="201"/>
      <c r="D23" s="41">
        <f>'MONTH SETTING'!$G$7</f>
        <v>46266</v>
      </c>
      <c r="E23" s="41">
        <f>IF(D23&lt;'MONTH SETTING'!$G$8,D23+1,"")</f>
        <v>46267</v>
      </c>
      <c r="F23" s="41">
        <f>IF(E23&lt;'MONTH SETTING'!$G$8,E23+1,"")</f>
        <v>46268</v>
      </c>
      <c r="G23" s="41">
        <f>IF(F23&lt;'MONTH SETTING'!$G$8,F23+1,"")</f>
        <v>46269</v>
      </c>
      <c r="H23" s="41">
        <f>IF(G23&lt;'MONTH SETTING'!$G$8,G23+1,"")</f>
        <v>46270</v>
      </c>
      <c r="I23" s="41">
        <f>IF(H23&lt;'MONTH SETTING'!$G$8,H23+1,"")</f>
        <v>46271</v>
      </c>
      <c r="J23" s="41">
        <f>IF(I23&lt;'MONTH SETTING'!$G$8,I23+1,"")</f>
        <v>46272</v>
      </c>
      <c r="K23" s="41">
        <f>IF(J23&lt;'MONTH SETTING'!$G$8,J23+1,"")</f>
        <v>46273</v>
      </c>
      <c r="L23" s="41">
        <f>IF(K23&lt;'MONTH SETTING'!$G$8,K23+1,"")</f>
        <v>46274</v>
      </c>
      <c r="M23" s="41">
        <f>IF(L23&lt;'MONTH SETTING'!$G$8,L23+1,"")</f>
        <v>46275</v>
      </c>
      <c r="N23" s="41">
        <f>IF(M23&lt;'MONTH SETTING'!$G$8,M23+1,"")</f>
        <v>46276</v>
      </c>
      <c r="O23" s="41">
        <f>IF(N23&lt;'MONTH SETTING'!$G$8,N23+1,"")</f>
        <v>46277</v>
      </c>
      <c r="P23" s="41">
        <f>IF(O23&lt;'MONTH SETTING'!$G$8,O23+1,"")</f>
        <v>46278</v>
      </c>
      <c r="Q23" s="41">
        <f>IF(P23&lt;'MONTH SETTING'!$G$8,P23+1,"")</f>
        <v>46279</v>
      </c>
      <c r="R23" s="41">
        <f>IF(Q23&lt;'MONTH SETTING'!$G$8,Q23+1,"")</f>
        <v>46280</v>
      </c>
      <c r="S23" s="41">
        <f>IF(R23&lt;'MONTH SETTING'!$G$8,R23+1,"")</f>
        <v>46281</v>
      </c>
      <c r="T23" s="41">
        <f>IF(S23&lt;'MONTH SETTING'!$G$8,S23+1,"")</f>
        <v>46282</v>
      </c>
      <c r="U23" s="41">
        <f>IF(T23&lt;'MONTH SETTING'!$G$8,T23+1,"")</f>
        <v>46283</v>
      </c>
      <c r="V23" s="41">
        <f>IF(U23&lt;'MONTH SETTING'!$G$8,U23+1,"")</f>
        <v>46284</v>
      </c>
      <c r="W23" s="41">
        <f>IF(V23&lt;'MONTH SETTING'!$G$8,V23+1,"")</f>
        <v>46285</v>
      </c>
      <c r="X23" s="41">
        <f>IF(W23&lt;'MONTH SETTING'!$G$8,W23+1,"")</f>
        <v>46286</v>
      </c>
      <c r="Y23" s="41">
        <f>IF(X23&lt;'MONTH SETTING'!$G$8,X23+1,"")</f>
        <v>46287</v>
      </c>
      <c r="Z23" s="41">
        <f>IF(Y23&lt;'MONTH SETTING'!$G$8,Y23+1,"")</f>
        <v>46288</v>
      </c>
      <c r="AA23" s="41">
        <f>IF(Z23&lt;'MONTH SETTING'!$G$8,Z23+1,"")</f>
        <v>46289</v>
      </c>
      <c r="AB23" s="41">
        <f>IF(AA23&lt;'MONTH SETTING'!$G$8,AA23+1,"")</f>
        <v>46290</v>
      </c>
      <c r="AC23" s="41">
        <f>IF(AB23&lt;'MONTH SETTING'!$G$8,AB23+1,"")</f>
        <v>46291</v>
      </c>
      <c r="AD23" s="41">
        <f>IF(AC23&lt;'MONTH SETTING'!$G$8,AC23+1,"")</f>
        <v>46292</v>
      </c>
      <c r="AE23" s="41">
        <f>IF(AD23&lt;'MONTH SETTING'!$G$8,AD23+1,"")</f>
        <v>46293</v>
      </c>
      <c r="AF23" s="41">
        <f>IF(AE23&lt;'MONTH SETTING'!$G$8,AE23+1,"")</f>
        <v>46294</v>
      </c>
      <c r="AG23" s="41">
        <f>IF(AF23&lt;'MONTH SETTING'!$G$8,AF23+1,"")</f>
        <v>46295</v>
      </c>
      <c r="AH23" s="41" t="str">
        <f>IF(AG23&lt;'MONTH SETTING'!$G$8,AG23+1,"")</f>
        <v/>
      </c>
      <c r="AI23" s="25"/>
    </row>
    <row r="24" spans="2:37" s="9" customFormat="1" ht="35.1" customHeight="1" thickBot="1">
      <c r="B24" s="10"/>
      <c r="C24" s="27" t="s">
        <v>27</v>
      </c>
      <c r="D24" s="28" cm="1">
        <f t="array" aca="1" ref="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COLUMNS($AJ4:AK4))
)</f>
        <v>2</v>
      </c>
      <c r="E24" s="28" cm="1">
        <f t="array" aca="1" ref="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COLUMNS($AJ4:AL4))
)</f>
        <v>2</v>
      </c>
      <c r="F24" s="28" cm="1">
        <f t="array" aca="1" ref="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COLUMNS($AJ4:AM4))
)</f>
        <v>2</v>
      </c>
      <c r="G24" s="28" cm="1">
        <f t="array" aca="1" ref="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COLUMNS($AJ4:AN4))
)</f>
        <v>0</v>
      </c>
      <c r="H24" s="28" cm="1">
        <f t="array" aca="1" ref="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COLUMNS($AJ4:AO4))
)</f>
        <v>2</v>
      </c>
      <c r="I24" s="28" cm="1">
        <f t="array" aca="1" ref="I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COLUMNS($AJ4:AP4))
)</f>
        <v>0</v>
      </c>
      <c r="J24" s="28" cm="1">
        <f t="array" aca="1" ref="J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COLUMNS($AJ4:AQ4))
)</f>
        <v>0</v>
      </c>
      <c r="K24" s="28" cm="1">
        <f t="array" aca="1" ref="K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COLUMNS($AJ4:AR4))
)</f>
        <v>0</v>
      </c>
      <c r="L24" s="28" cm="1">
        <f t="array" aca="1" ref="L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COLUMNS($AJ4:AS4))
)</f>
        <v>0</v>
      </c>
      <c r="M24" s="28" cm="1">
        <f t="array" aca="1" ref="M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COLUMNS($AJ4:AT4))
)</f>
        <v>0</v>
      </c>
      <c r="N24" s="28" cm="1">
        <f t="array" aca="1" ref="N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COLUMNS($AJ4:AU4))
)</f>
        <v>0</v>
      </c>
      <c r="O24" s="28" cm="1">
        <f t="array" aca="1" ref="O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COLUMNS($AJ4:AV4))
)</f>
        <v>0</v>
      </c>
      <c r="P24" s="28" cm="1">
        <f t="array" aca="1" ref="P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COLUMNS($AJ4:AW4))
)</f>
        <v>0</v>
      </c>
      <c r="Q24" s="28" cm="1">
        <f t="array" aca="1" ref="Q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COLUMNS($AJ4:AX4))
)</f>
        <v>0</v>
      </c>
      <c r="R24" s="28" cm="1">
        <f t="array" aca="1" ref="R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COLUMNS($AJ4:AY4))
)</f>
        <v>0</v>
      </c>
      <c r="S24" s="28" cm="1">
        <f t="array" aca="1" ref="S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COLUMNS($AJ4:AZ4))
)</f>
        <v>0</v>
      </c>
      <c r="T24" s="28" cm="1">
        <f t="array" aca="1" ref="T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COLUMNS($AJ4:BA4))
)</f>
        <v>0</v>
      </c>
      <c r="U24" s="28" cm="1">
        <f t="array" aca="1" ref="U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COLUMNS($AJ4:BB4))
)</f>
        <v>0</v>
      </c>
      <c r="V24" s="28" cm="1">
        <f t="array" aca="1" ref="V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COLUMNS($AJ4:BC4))
)</f>
        <v>0</v>
      </c>
      <c r="W24" s="28" cm="1">
        <f t="array" aca="1" ref="W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36,
  INDEX(_xlpm.rowData, 1, _xlpm.startCol - 1 + COLUMNS($AJ4:BD4))
)</f>
        <v>0</v>
      </c>
      <c r="X24" s="28" cm="1">
        <f t="array" aca="1" ref="X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COLUMNS($AL4:BE4))
)</f>
        <v>0</v>
      </c>
      <c r="Y24" s="28" cm="1">
        <f t="array" aca="1" ref="Y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COLUMNS($AL4:BF4))
)</f>
        <v>0</v>
      </c>
      <c r="Z24" s="28" cm="1">
        <f t="array" aca="1" ref="Z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COLUMNS($AL4:BG4))
)</f>
        <v>0</v>
      </c>
      <c r="AA24" s="28" cm="1">
        <f t="array" aca="1" ref="AA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COLUMNS($AL4:BH4))
)</f>
        <v>0</v>
      </c>
      <c r="AB24" s="28" cm="1">
        <f t="array" aca="1" ref="AB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COLUMNS($AL4:BI4))
)</f>
        <v>0</v>
      </c>
      <c r="AC24" s="28" cm="1">
        <f t="array" aca="1" ref="AC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COLUMNS($AL4:BJ4))
)</f>
        <v>0</v>
      </c>
      <c r="AD24" s="28" cm="1">
        <f t="array" aca="1" ref="AD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COLUMNS($AL4:BK4))
)</f>
        <v>0</v>
      </c>
      <c r="AE24" s="28" cm="1">
        <f t="array" aca="1" ref="AE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COLUMNS($AL4:BL4))
)</f>
        <v>0</v>
      </c>
      <c r="AF24" s="28" cm="1">
        <f t="array" aca="1" ref="AF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COLUMNS($AL4:BM4))
)</f>
        <v>0</v>
      </c>
      <c r="AG24" s="28" cm="1">
        <f t="array" aca="1" ref="AG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COLUMNS($AL4:BN4))
)</f>
        <v>0</v>
      </c>
      <c r="AH24" s="28" cm="1">
        <f t="array" aca="1" ref="AH24" ca="1">_xlfn.LET(
  _xlpm.key, LOWER(TRIM($D4)),
  _xlpm.rowData,
    _xlfn.IFNA(
      _xlfn.XLOOKUP(_xlpm.key, LOWER(TRIM('EH Staff'!$B$3:$B$716)), 'EH Staff'!$B$3:$BP$716, "", 0, -1),
      _xlfn.XLOOKUP("*"&amp;_xlpm.key&amp;"*", LOWER(TRIM('EH Staff'!$B$3:$B$716)), 'EH Staff'!$B$3:$BP$716, "", 2, -1)
    ),
  _xlpm.startCol, 38,
  INDEX(_xlpm.rowData, 1, _xlpm.startCol - 1 + COLUMNS($AL4:BO4))
)</f>
        <v>0</v>
      </c>
      <c r="AI24" s="25"/>
    </row>
    <row r="25" spans="2:37" s="9" customFormat="1" ht="15.75" customHeight="1" thickBot="1">
      <c r="B25" s="10"/>
      <c r="AI25" s="25"/>
    </row>
    <row r="26" spans="2:37" s="9" customFormat="1" ht="44.1" customHeight="1" thickBot="1">
      <c r="B26" s="10"/>
      <c r="C26" s="30"/>
      <c r="D26" s="202" t="s">
        <v>28</v>
      </c>
      <c r="E26" s="203"/>
      <c r="F26" s="203"/>
      <c r="G26" s="210">
        <f ca="1">SUM(D24:AH24)</f>
        <v>8</v>
      </c>
      <c r="H26" s="205"/>
      <c r="I26" s="31"/>
      <c r="J26" s="31"/>
      <c r="K26" s="31"/>
      <c r="L26" s="32"/>
      <c r="Q26" s="32"/>
      <c r="R26" s="32"/>
      <c r="S26" s="32"/>
      <c r="T26" s="32"/>
      <c r="U26" s="32"/>
      <c r="V26" s="32"/>
      <c r="W26" s="211" cm="1">
        <f t="array" aca="1" ref="W26" ca="1">_xlfn.LET(
_xlpm.key, LOWER(TRIM($D4)),
_xlpm.rowData,
_xlfn.IFNA(
_xlfn.XLOOKUP(_xlpm.key, LOWER(TRIM('EH Staff'!$B$3:$B$716)), 'EH Staff'!$B$3:$BU$716, "", 0, -1),
_xlfn.XLOOKUP("*"&amp;_xlpm.key&amp;"*", LOWER(TRIM('EH Staff'!$B$3:$B$716)), 'EH Staff'!$B$3:$BU$716, "", 2, -1)
),
INDEX(_xlpm.rowData, 1, 71)
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212"/>
      <c r="AI26" s="11"/>
    </row>
    <row r="27" spans="2:37" s="9" customFormat="1">
      <c r="B27" s="10"/>
      <c r="C27" s="33"/>
      <c r="D27" s="34"/>
      <c r="E27" s="33"/>
      <c r="F27" s="33"/>
      <c r="G27" s="33"/>
      <c r="H27" s="206"/>
      <c r="I27" s="207"/>
      <c r="J27" s="207"/>
      <c r="K27" s="207"/>
      <c r="L27" s="33"/>
      <c r="M27" s="208"/>
      <c r="N27" s="207"/>
      <c r="O27" s="207"/>
      <c r="P27" s="207"/>
      <c r="Q27" s="33"/>
      <c r="R27" s="33"/>
      <c r="S27" s="33"/>
      <c r="T27" s="33"/>
      <c r="U27" s="33"/>
      <c r="V27" s="33"/>
      <c r="W27" s="199"/>
      <c r="X27" s="207"/>
      <c r="Y27" s="207"/>
      <c r="Z27" s="207"/>
      <c r="AA27" s="207"/>
      <c r="AB27" s="207"/>
      <c r="AC27" s="207"/>
      <c r="AD27" s="207"/>
      <c r="AE27" s="207"/>
      <c r="AF27" s="207"/>
      <c r="AG27" s="213"/>
      <c r="AH27" s="33"/>
      <c r="AI27" s="37"/>
    </row>
    <row r="28" spans="2:37" s="9" customFormat="1" ht="34.5" customHeight="1">
      <c r="B28" s="10"/>
      <c r="C28" s="33"/>
      <c r="D28" s="33"/>
      <c r="E28" s="33"/>
      <c r="F28" s="33"/>
      <c r="G28" s="33"/>
      <c r="H28" s="42"/>
      <c r="I28" s="42"/>
      <c r="J28" s="42"/>
      <c r="K28" s="217" t="s">
        <v>28</v>
      </c>
      <c r="L28" s="218"/>
      <c r="M28" s="218"/>
      <c r="N28" s="218"/>
      <c r="O28" s="218"/>
      <c r="P28" s="218"/>
      <c r="Q28" s="218"/>
      <c r="R28" s="219"/>
      <c r="S28" s="220">
        <f ca="1">G14+G26</f>
        <v>30</v>
      </c>
      <c r="T28" s="218"/>
      <c r="U28" s="219"/>
      <c r="V28" s="33"/>
      <c r="W28" s="199"/>
      <c r="X28" s="207"/>
      <c r="Y28" s="207"/>
      <c r="Z28" s="207"/>
      <c r="AA28" s="207"/>
      <c r="AB28" s="207"/>
      <c r="AC28" s="207"/>
      <c r="AD28" s="207"/>
      <c r="AE28" s="207"/>
      <c r="AF28" s="207"/>
      <c r="AG28" s="213"/>
      <c r="AH28" s="33"/>
      <c r="AI28" s="37"/>
    </row>
    <row r="29" spans="2:37" s="9" customFormat="1">
      <c r="B29" s="10"/>
      <c r="C29" s="33"/>
      <c r="D29" s="33"/>
      <c r="E29" s="33"/>
      <c r="F29" s="33"/>
      <c r="G29" s="33"/>
      <c r="H29" s="38"/>
      <c r="I29" s="38"/>
      <c r="J29" s="38"/>
      <c r="K29" s="38"/>
      <c r="L29" s="33"/>
      <c r="M29" s="38"/>
      <c r="N29" s="38"/>
      <c r="O29" s="38"/>
      <c r="P29" s="38"/>
      <c r="Q29" s="33"/>
      <c r="R29" s="33"/>
      <c r="S29" s="33"/>
      <c r="T29" s="33"/>
      <c r="U29" s="33"/>
      <c r="V29" s="33"/>
      <c r="W29" s="199"/>
      <c r="X29" s="207"/>
      <c r="Y29" s="207"/>
      <c r="Z29" s="207"/>
      <c r="AA29" s="207"/>
      <c r="AB29" s="207"/>
      <c r="AC29" s="207"/>
      <c r="AD29" s="207"/>
      <c r="AE29" s="207"/>
      <c r="AF29" s="207"/>
      <c r="AG29" s="213"/>
      <c r="AH29" s="33"/>
      <c r="AI29" s="37"/>
    </row>
    <row r="30" spans="2:37" s="9" customFormat="1" ht="15.75" customHeight="1">
      <c r="B30" s="10"/>
      <c r="C30" s="33"/>
      <c r="D30" s="33"/>
      <c r="E30" s="33"/>
      <c r="F30" s="33"/>
      <c r="G30" s="33"/>
      <c r="H30" s="38"/>
      <c r="I30" s="38"/>
      <c r="J30" s="38"/>
      <c r="K30" s="38"/>
      <c r="L30" s="33"/>
      <c r="M30" s="38"/>
      <c r="N30" s="38"/>
      <c r="O30" s="38"/>
      <c r="P30" s="38"/>
      <c r="Q30" s="33"/>
      <c r="R30" s="33"/>
      <c r="S30" s="33"/>
      <c r="T30" s="33"/>
      <c r="U30" s="33"/>
      <c r="V30" s="33"/>
      <c r="W30" s="214"/>
      <c r="X30" s="215"/>
      <c r="Y30" s="215"/>
      <c r="Z30" s="215"/>
      <c r="AA30" s="215"/>
      <c r="AB30" s="215"/>
      <c r="AC30" s="215"/>
      <c r="AD30" s="215"/>
      <c r="AE30" s="215"/>
      <c r="AF30" s="215"/>
      <c r="AG30" s="216"/>
      <c r="AH30" s="33"/>
      <c r="AI30" s="37"/>
    </row>
    <row r="31" spans="2:37" ht="18" customHeight="1">
      <c r="B31" s="10"/>
      <c r="C31" s="43"/>
      <c r="D31" s="221" t="s">
        <v>34</v>
      </c>
      <c r="E31" s="181"/>
      <c r="F31" s="181"/>
      <c r="G31" s="181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2:37" ht="41.25" customHeight="1">
      <c r="B32" s="10"/>
      <c r="D32" s="222" t="s">
        <v>35</v>
      </c>
      <c r="E32" s="181"/>
      <c r="F32" s="181"/>
      <c r="G32" s="181"/>
      <c r="H32" s="223" t="str">
        <f ca="1">M4</f>
        <v>LAMBERT CAINGAT MOLINA</v>
      </c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45"/>
      <c r="T32" s="46"/>
      <c r="U32" s="47"/>
      <c r="V32" s="60" t="s">
        <v>26</v>
      </c>
      <c r="W32" s="225">
        <f ca="1">NOW()</f>
        <v>46270.367600925929</v>
      </c>
      <c r="X32" s="224"/>
      <c r="Y32" s="224"/>
      <c r="Z32" s="224"/>
      <c r="AA32" s="12"/>
      <c r="AB32" s="12"/>
      <c r="AC32" s="12"/>
      <c r="AD32" s="12"/>
      <c r="AE32" s="12"/>
      <c r="AI32" s="11"/>
    </row>
    <row r="33" spans="2:35" ht="39" customHeight="1">
      <c r="B33" s="10"/>
      <c r="D33" s="226" t="s">
        <v>36</v>
      </c>
      <c r="E33" s="181"/>
      <c r="F33" s="181"/>
      <c r="G33" s="181"/>
      <c r="H33" s="227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45"/>
      <c r="T33" s="46"/>
      <c r="U33" s="47"/>
      <c r="V33" s="60" t="s">
        <v>26</v>
      </c>
      <c r="W33" s="225">
        <f ca="1">NOW()</f>
        <v>46270.367595023148</v>
      </c>
      <c r="X33" s="224"/>
      <c r="Y33" s="224"/>
      <c r="Z33" s="224"/>
      <c r="AA33" s="12"/>
      <c r="AB33" s="12"/>
      <c r="AC33" s="12"/>
      <c r="AD33" s="12"/>
      <c r="AE33" s="12"/>
      <c r="AI33" s="11"/>
    </row>
    <row r="34" spans="2:35" ht="43.5" customHeight="1">
      <c r="B34" s="10"/>
      <c r="D34" s="226" t="s">
        <v>37</v>
      </c>
      <c r="E34" s="181"/>
      <c r="F34" s="181"/>
      <c r="G34" s="181"/>
      <c r="H34" s="223" t="s">
        <v>133</v>
      </c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45"/>
      <c r="T34" s="46"/>
      <c r="U34" s="47"/>
      <c r="V34" s="60" t="s">
        <v>26</v>
      </c>
      <c r="W34" s="225">
        <f ca="1">NOW()</f>
        <v>46270.367595370371</v>
      </c>
      <c r="X34" s="224"/>
      <c r="Y34" s="224"/>
      <c r="Z34" s="224"/>
      <c r="AA34" s="12"/>
      <c r="AB34" s="12"/>
      <c r="AC34" s="12"/>
      <c r="AD34" s="12"/>
      <c r="AE34" s="12"/>
      <c r="AI34" s="11"/>
    </row>
    <row r="35" spans="2:35" ht="39" customHeight="1">
      <c r="B35" s="10"/>
      <c r="D35" s="229" t="s">
        <v>38</v>
      </c>
      <c r="E35" s="181"/>
      <c r="F35" s="181"/>
      <c r="G35" s="181"/>
      <c r="H35" s="230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V35" s="60" t="s">
        <v>26</v>
      </c>
      <c r="W35" s="231"/>
      <c r="X35" s="228"/>
      <c r="Y35" s="228"/>
      <c r="Z35" s="228"/>
      <c r="AB35" s="12"/>
      <c r="AC35" s="12"/>
      <c r="AD35" s="12"/>
      <c r="AE35" s="12"/>
      <c r="AI35" s="11"/>
    </row>
    <row r="36" spans="2:35" ht="38.25" customHeight="1">
      <c r="B36" s="10"/>
      <c r="D36" s="229" t="s">
        <v>133</v>
      </c>
      <c r="E36" s="181"/>
      <c r="F36" s="181"/>
      <c r="G36" s="181"/>
      <c r="H36" s="230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V36" s="60" t="s">
        <v>26</v>
      </c>
      <c r="W36" s="231"/>
      <c r="X36" s="228"/>
      <c r="Y36" s="228"/>
      <c r="Z36" s="228"/>
      <c r="AI36" s="11"/>
    </row>
    <row r="37" spans="2:35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0"/>
    </row>
  </sheetData>
  <mergeCells count="42">
    <mergeCell ref="C2:AH2"/>
    <mergeCell ref="C4:C5"/>
    <mergeCell ref="D4:H5"/>
    <mergeCell ref="I4:L5"/>
    <mergeCell ref="M4:V5"/>
    <mergeCell ref="X4:AE5"/>
    <mergeCell ref="C7:C8"/>
    <mergeCell ref="D7:H8"/>
    <mergeCell ref="I7:K8"/>
    <mergeCell ref="C10:C11"/>
    <mergeCell ref="D14:F14"/>
    <mergeCell ref="G14:H14"/>
    <mergeCell ref="H15:K15"/>
    <mergeCell ref="M15:P15"/>
    <mergeCell ref="H18:K18"/>
    <mergeCell ref="C19:C20"/>
    <mergeCell ref="D19:H20"/>
    <mergeCell ref="I19:K20"/>
    <mergeCell ref="C22:C23"/>
    <mergeCell ref="D26:F26"/>
    <mergeCell ref="G26:H26"/>
    <mergeCell ref="W26:AG30"/>
    <mergeCell ref="H27:K27"/>
    <mergeCell ref="M27:P27"/>
    <mergeCell ref="K28:R28"/>
    <mergeCell ref="S28:U28"/>
    <mergeCell ref="D31:G31"/>
    <mergeCell ref="D32:G32"/>
    <mergeCell ref="H32:R32"/>
    <mergeCell ref="W32:Z32"/>
    <mergeCell ref="D33:G33"/>
    <mergeCell ref="H33:R33"/>
    <mergeCell ref="W33:Z33"/>
    <mergeCell ref="D36:G36"/>
    <mergeCell ref="H36:R36"/>
    <mergeCell ref="W36:Z36"/>
    <mergeCell ref="D34:G34"/>
    <mergeCell ref="H34:R34"/>
    <mergeCell ref="W34:Z34"/>
    <mergeCell ref="D35:G35"/>
    <mergeCell ref="H35:R35"/>
    <mergeCell ref="W35:Z35"/>
  </mergeCells>
  <conditionalFormatting sqref="D12:AH12">
    <cfRule type="cellIs" dxfId="4" priority="2" operator="equal">
      <formula>0</formula>
    </cfRule>
    <cfRule type="expression" dxfId="3" priority="3" stopIfTrue="1">
      <formula>OR(D10="Fri")</formula>
    </cfRule>
  </conditionalFormatting>
  <conditionalFormatting sqref="D24:AH24">
    <cfRule type="cellIs" dxfId="2" priority="4" operator="equal">
      <formula>0</formula>
    </cfRule>
    <cfRule type="expression" dxfId="1" priority="5" stopIfTrue="1">
      <formula>OR(D22="Fri")</formula>
    </cfRule>
  </conditionalFormatting>
  <conditionalFormatting sqref="W26:AG30">
    <cfRule type="containsText" dxfId="0" priority="1" operator="containsText" text="0">
      <formula>NOT(ISERROR(SEARCH("0",W26)))</formula>
    </cfRule>
  </conditionalFormatting>
  <dataValidations count="1">
    <dataValidation type="list" allowBlank="1" showInputMessage="1" showErrorMessage="1" sqref="AK15 AK19" xr:uid="{B4BB1B2B-2EF2-4A90-994D-4C2A2CC196D3}">
      <formula1>MONTHS</formula1>
    </dataValidation>
  </dataValidations>
  <pageMargins left="0.22" right="0.23622047244094491" top="0.39370078740157483" bottom="0.39370078740157483" header="0.31496062992125978" footer="0.31496062992125978"/>
  <pageSetup paperSize="9" scale="60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54</vt:i4>
      </vt:variant>
      <vt:variant>
        <vt:lpstr>Named Ranges</vt:lpstr>
      </vt:variant>
      <vt:variant>
        <vt:i4>54</vt:i4>
      </vt:variant>
    </vt:vector>
  </HeadingPairs>
  <TitlesOfParts>
    <vt:vector size="108" baseType="lpstr">
      <vt:lpstr>EH Staff</vt:lpstr>
      <vt:lpstr>MONTH SETTING</vt:lpstr>
      <vt:lpstr>2078939747</vt:lpstr>
      <vt:lpstr>1401</vt:lpstr>
      <vt:lpstr>2512936473</vt:lpstr>
      <vt:lpstr>2377490566</vt:lpstr>
      <vt:lpstr>775</vt:lpstr>
      <vt:lpstr>2588344990</vt:lpstr>
      <vt:lpstr>2412520922</vt:lpstr>
      <vt:lpstr>2533698649</vt:lpstr>
      <vt:lpstr>1018</vt:lpstr>
      <vt:lpstr>2527497917</vt:lpstr>
      <vt:lpstr>221</vt:lpstr>
      <vt:lpstr>220</vt:lpstr>
      <vt:lpstr>E00524</vt:lpstr>
      <vt:lpstr>2620914099</vt:lpstr>
      <vt:lpstr>1</vt:lpstr>
      <vt:lpstr>21</vt:lpstr>
      <vt:lpstr>57</vt:lpstr>
      <vt:lpstr>62</vt:lpstr>
      <vt:lpstr>65</vt:lpstr>
      <vt:lpstr>69</vt:lpstr>
      <vt:lpstr>86</vt:lpstr>
      <vt:lpstr>91</vt:lpstr>
      <vt:lpstr>98</vt:lpstr>
      <vt:lpstr>108</vt:lpstr>
      <vt:lpstr>113</vt:lpstr>
      <vt:lpstr>117</vt:lpstr>
      <vt:lpstr>124</vt:lpstr>
      <vt:lpstr>125</vt:lpstr>
      <vt:lpstr>128</vt:lpstr>
      <vt:lpstr>133</vt:lpstr>
      <vt:lpstr>135</vt:lpstr>
      <vt:lpstr>141</vt:lpstr>
      <vt:lpstr>153</vt:lpstr>
      <vt:lpstr>161</vt:lpstr>
      <vt:lpstr>162</vt:lpstr>
      <vt:lpstr>168</vt:lpstr>
      <vt:lpstr>170</vt:lpstr>
      <vt:lpstr>173</vt:lpstr>
      <vt:lpstr>174</vt:lpstr>
      <vt:lpstr>175</vt:lpstr>
      <vt:lpstr>182</vt:lpstr>
      <vt:lpstr>190</vt:lpstr>
      <vt:lpstr>192</vt:lpstr>
      <vt:lpstr>193</vt:lpstr>
      <vt:lpstr>194</vt:lpstr>
      <vt:lpstr>195</vt:lpstr>
      <vt:lpstr>210</vt:lpstr>
      <vt:lpstr>216</vt:lpstr>
      <vt:lpstr>230</vt:lpstr>
      <vt:lpstr>238</vt:lpstr>
      <vt:lpstr>241</vt:lpstr>
      <vt:lpstr>2407930680</vt:lpstr>
      <vt:lpstr>'1'!Print_Area</vt:lpstr>
      <vt:lpstr>'1018'!Print_Area</vt:lpstr>
      <vt:lpstr>'108'!Print_Area</vt:lpstr>
      <vt:lpstr>'113'!Print_Area</vt:lpstr>
      <vt:lpstr>'117'!Print_Area</vt:lpstr>
      <vt:lpstr>'124'!Print_Area</vt:lpstr>
      <vt:lpstr>'125'!Print_Area</vt:lpstr>
      <vt:lpstr>'128'!Print_Area</vt:lpstr>
      <vt:lpstr>'133'!Print_Area</vt:lpstr>
      <vt:lpstr>'135'!Print_Area</vt:lpstr>
      <vt:lpstr>'1401'!Print_Area</vt:lpstr>
      <vt:lpstr>'141'!Print_Area</vt:lpstr>
      <vt:lpstr>'153'!Print_Area</vt:lpstr>
      <vt:lpstr>'161'!Print_Area</vt:lpstr>
      <vt:lpstr>'162'!Print_Area</vt:lpstr>
      <vt:lpstr>'168'!Print_Area</vt:lpstr>
      <vt:lpstr>'170'!Print_Area</vt:lpstr>
      <vt:lpstr>'173'!Print_Area</vt:lpstr>
      <vt:lpstr>'174'!Print_Area</vt:lpstr>
      <vt:lpstr>'175'!Print_Area</vt:lpstr>
      <vt:lpstr>'182'!Print_Area</vt:lpstr>
      <vt:lpstr>'190'!Print_Area</vt:lpstr>
      <vt:lpstr>'192'!Print_Area</vt:lpstr>
      <vt:lpstr>'193'!Print_Area</vt:lpstr>
      <vt:lpstr>'194'!Print_Area</vt:lpstr>
      <vt:lpstr>'195'!Print_Area</vt:lpstr>
      <vt:lpstr>'2078939747'!Print_Area</vt:lpstr>
      <vt:lpstr>'21'!Print_Area</vt:lpstr>
      <vt:lpstr>'210'!Print_Area</vt:lpstr>
      <vt:lpstr>'216'!Print_Area</vt:lpstr>
      <vt:lpstr>'220'!Print_Area</vt:lpstr>
      <vt:lpstr>'221'!Print_Area</vt:lpstr>
      <vt:lpstr>'230'!Print_Area</vt:lpstr>
      <vt:lpstr>'2377490566'!Print_Area</vt:lpstr>
      <vt:lpstr>'238'!Print_Area</vt:lpstr>
      <vt:lpstr>'2407930680'!Print_Area</vt:lpstr>
      <vt:lpstr>'241'!Print_Area</vt:lpstr>
      <vt:lpstr>'2412520922'!Print_Area</vt:lpstr>
      <vt:lpstr>'2512936473'!Print_Area</vt:lpstr>
      <vt:lpstr>'2527497917'!Print_Area</vt:lpstr>
      <vt:lpstr>'2533698649'!Print_Area</vt:lpstr>
      <vt:lpstr>'2588344990'!Print_Area</vt:lpstr>
      <vt:lpstr>'2620914099'!Print_Area</vt:lpstr>
      <vt:lpstr>'57'!Print_Area</vt:lpstr>
      <vt:lpstr>'62'!Print_Area</vt:lpstr>
      <vt:lpstr>'65'!Print_Area</vt:lpstr>
      <vt:lpstr>'69'!Print_Area</vt:lpstr>
      <vt:lpstr>'775'!Print_Area</vt:lpstr>
      <vt:lpstr>'86'!Print_Area</vt:lpstr>
      <vt:lpstr>'91'!Print_Area</vt:lpstr>
      <vt:lpstr>'98'!Print_Area</vt:lpstr>
      <vt:lpstr>'E00524'!Print_Area</vt:lpstr>
      <vt:lpstr>'EH Staff'!Print_Area</vt:lpstr>
      <vt:lpstr>'EH Staff'!Print_Titles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Sayyad ali</cp:lastModifiedBy>
  <cp:lastPrinted>2026-08-05T13:07:58Z</cp:lastPrinted>
  <dcterms:created xsi:type="dcterms:W3CDTF">2023-05-16T07:21:53Z</dcterms:created>
  <dcterms:modified xsi:type="dcterms:W3CDTF">2026-09-05T05:49:27Z</dcterms:modified>
</cp:coreProperties>
</file>